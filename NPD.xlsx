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yBook Pro 10\Downloads\"/>
    </mc:Choice>
  </mc:AlternateContent>
  <bookViews>
    <workbookView xWindow="0" yWindow="0" windowWidth="19200" windowHeight="7190" tabRatio="865"/>
  </bookViews>
  <sheets>
    <sheet name="KEUANGAN" sheetId="28" r:id="rId1"/>
    <sheet name="PERENCANAAN 07" sheetId="27" r:id="rId2"/>
    <sheet name="PERENCANAAN 04" sheetId="26" r:id="rId3"/>
    <sheet name="PERENCANAAN 01" sheetId="25" r:id="rId4"/>
  </sheets>
  <externalReferences>
    <externalReference r:id="rId5"/>
  </externalReferences>
  <definedNames>
    <definedName name="_xlnm.Print_Area" localSheetId="0">KEUANGAN!$A$1:$R$43</definedName>
    <definedName name="_xlnm.Print_Area" localSheetId="3">'PERENCANAAN 01'!$A$1:$R$48</definedName>
    <definedName name="_xlnm.Print_Area" localSheetId="2">'PERENCANAAN 04'!$A$1:$R$42</definedName>
    <definedName name="_xlnm.Print_Area" localSheetId="1">'PERENCANAAN 07'!$A$1:$R$42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1" i="28" l="1"/>
  <c r="B16" i="28"/>
  <c r="Q24" i="28"/>
  <c r="L28" i="28" s="1"/>
  <c r="L30" i="28" s="1"/>
  <c r="P24" i="28"/>
  <c r="O24" i="28"/>
  <c r="R19" i="28"/>
  <c r="R24" i="28" s="1"/>
  <c r="K15" i="28"/>
  <c r="Q23" i="27" l="1"/>
  <c r="L27" i="27" s="1"/>
  <c r="L29" i="27" s="1"/>
  <c r="R22" i="27"/>
  <c r="R23" i="27"/>
  <c r="O23" i="27"/>
  <c r="R21" i="27"/>
  <c r="O40" i="27"/>
  <c r="A30" i="27"/>
  <c r="P23" i="27"/>
  <c r="R20" i="27"/>
  <c r="R19" i="27"/>
  <c r="R18" i="27"/>
  <c r="A30" i="26"/>
  <c r="O40" i="26"/>
  <c r="Q23" i="26"/>
  <c r="L27" i="26" s="1"/>
  <c r="L29" i="26" s="1"/>
  <c r="P23" i="26"/>
  <c r="O23" i="26"/>
  <c r="R20" i="26"/>
  <c r="R19" i="26"/>
  <c r="R18" i="26"/>
  <c r="K14" i="27" l="1"/>
  <c r="R23" i="26"/>
  <c r="K14" i="26"/>
  <c r="O46" i="25"/>
  <c r="Q29" i="25"/>
  <c r="L33" i="25" s="1"/>
  <c r="L35" i="25" s="1"/>
  <c r="P29" i="25"/>
  <c r="O29" i="25"/>
  <c r="R27" i="25"/>
  <c r="R20" i="25"/>
  <c r="R19" i="25"/>
  <c r="R18" i="25"/>
  <c r="A36" i="25"/>
  <c r="K14" i="25" l="1"/>
  <c r="R29" i="25"/>
</calcChain>
</file>

<file path=xl/sharedStrings.xml><?xml version="1.0" encoding="utf-8"?>
<sst xmlns="http://schemas.openxmlformats.org/spreadsheetml/2006/main" count="267" uniqueCount="79">
  <si>
    <t>PEMERINTAH KABUPATEN POLEWALI MANDAR</t>
  </si>
  <si>
    <t>NOTA PENCAIRAN DANA (NPD)</t>
  </si>
  <si>
    <t>Nomor :</t>
  </si>
  <si>
    <t>BENDAHARA PENGELUARAN</t>
  </si>
  <si>
    <t>SKPD</t>
  </si>
  <si>
    <t>Supaya mencairkan dana kepada :</t>
  </si>
  <si>
    <t>1.</t>
  </si>
  <si>
    <t>Pejabat Pelaksana Teknis Kegiatan</t>
  </si>
  <si>
    <t>:</t>
  </si>
  <si>
    <t>2.</t>
  </si>
  <si>
    <t>Program</t>
  </si>
  <si>
    <t>3.</t>
  </si>
  <si>
    <t>Kegiatan</t>
  </si>
  <si>
    <t>4.</t>
  </si>
  <si>
    <t>Nomor DPA-/DPAL-/DPPA-SKPD</t>
  </si>
  <si>
    <t>5.</t>
  </si>
  <si>
    <t>Tahun Anggaran</t>
  </si>
  <si>
    <t>6.</t>
  </si>
  <si>
    <t>Jumlah Dana Yang Diminta</t>
  </si>
  <si>
    <t>Pembebanan pada kode rekening</t>
  </si>
  <si>
    <t>No. Urut</t>
  </si>
  <si>
    <t>Kode Rekening</t>
  </si>
  <si>
    <t>Uraian</t>
  </si>
  <si>
    <t>Anggaran</t>
  </si>
  <si>
    <t>Akumulasi Pencairan Sebelumnya</t>
  </si>
  <si>
    <t>Pencairan Saat ini</t>
  </si>
  <si>
    <t>Sisa</t>
  </si>
  <si>
    <t>JUMLAH</t>
  </si>
  <si>
    <t>Potongan-Potongan</t>
  </si>
  <si>
    <t>PPN</t>
  </si>
  <si>
    <t>Rp.</t>
  </si>
  <si>
    <t>PPh 21/22/23</t>
  </si>
  <si>
    <t>Jumlah yang diminta</t>
  </si>
  <si>
    <t>: Rp.</t>
  </si>
  <si>
    <t>Jumlah yang dibayarkan</t>
  </si>
  <si>
    <t>Polewali,</t>
  </si>
  <si>
    <t>Mengetahui,</t>
  </si>
  <si>
    <t>: Dinas Pendidikan dan Kebudayaan</t>
  </si>
  <si>
    <t>Pengguna Anggaran</t>
  </si>
  <si>
    <t xml:space="preserve">1.01.01.01 . 02 . 01 </t>
  </si>
  <si>
    <t xml:space="preserve">1.01.01.01 . 02 </t>
  </si>
  <si>
    <t>Belanja Perjalanan Dinas Dalam Kota</t>
  </si>
  <si>
    <t>Belanja Alat/Bahan untuk Kegiatan Kantor- Bahan Cetak</t>
  </si>
  <si>
    <t>5.1.02.01.01.0024</t>
  </si>
  <si>
    <t>Belanja Alat/Bahan untuk Kegiatan Kantor-Alat Tulis Kantor</t>
  </si>
  <si>
    <t>Belanja Alat/Bahan untuk Kegiatan Kantor- Kertas dan Cover</t>
  </si>
  <si>
    <t>MUHLIS HADIU</t>
  </si>
  <si>
    <t>5.1.02.01.01.0025</t>
  </si>
  <si>
    <t>5.1.02.01.001.00052</t>
  </si>
  <si>
    <t>Belanja Makanan dan Minuman</t>
  </si>
  <si>
    <t>PENUNJANG URUSAN PEMERINTAHAN DAERAH KABUPATEN/KOTA</t>
  </si>
  <si>
    <t>Perencanaan Penganggaran dan Evaluasi Kinerja Perangkat Daerah</t>
  </si>
  <si>
    <t>Penyusunan Dokumen Perencanaan Perangkat Daerah</t>
  </si>
  <si>
    <t>Empat Juta Tiga Ratus Empat Puluh Delapan Ribu Rupiah</t>
  </si>
  <si>
    <t>NIP  : 198406182006041004</t>
  </si>
  <si>
    <t>NURSAID, S.Sos., MM</t>
  </si>
  <si>
    <t>NIP. 197111271998031007</t>
  </si>
  <si>
    <t>1.01.01.01 . 02 . 01 .0004</t>
  </si>
  <si>
    <t>Koordinasi dan Penyusunan DPA-SKPD</t>
  </si>
  <si>
    <t>5.1.02.01.001.00024</t>
  </si>
  <si>
    <t>5.1.02.01.001.00025</t>
  </si>
  <si>
    <t>5.1.02.01.001.00003</t>
  </si>
  <si>
    <t>Tujuh Juta Lima Ratus Lima Puluh Sembilan Ribu Rupiah</t>
  </si>
  <si>
    <t>1.01.01.01 . 02 . 01 .0007</t>
  </si>
  <si>
    <t>Evaluasi Kinerja</t>
  </si>
  <si>
    <t>Enam Juta Tiga Ratus Empat Puluh Sembilan Ribu Rupiah</t>
  </si>
  <si>
    <t xml:space="preserve">            Polewali, 04 Maret 2026</t>
  </si>
  <si>
    <t>: Dinas Pendidikan</t>
  </si>
  <si>
    <t>SAMPURISIAH, SE.,M.Si</t>
  </si>
  <si>
    <t>PROGRAM PENUNJANG URUSAN PEMERINTAHAN DAERAH KABUPATEN/KOTA</t>
  </si>
  <si>
    <t>Sub Kegiatan</t>
  </si>
  <si>
    <t>Penyediaan Jasa Penunjang Uurusan Pemerintah Daerah</t>
  </si>
  <si>
    <t>Penyediaan Jasa Komunikasi, Sumber Daya Air dan Listrik</t>
  </si>
  <si>
    <t>5.1.02.01.001.00026</t>
  </si>
  <si>
    <t>Dua Belas Juta Empat Ratus Tujuh Puluh Tujuh Ribu Rupiah</t>
  </si>
  <si>
    <t>1.01.01</t>
  </si>
  <si>
    <t xml:space="preserve">1.01.01.2.08 </t>
  </si>
  <si>
    <t>1.01.01.2.08.0002</t>
  </si>
  <si>
    <t>Polewali, 10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</si>
</sst>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([$Rp-421]* #,##0.00_);_([$Rp-421]* \(#,##0.00\);_([$Rp-421]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>
      <alignment vertical="top"/>
    </xf>
  </cellStyleXfs>
  <cellXfs count="112">
    <xf numFmtId="0" fontId="0" fillId="0" borderId="0" xfId="0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/>
    <xf numFmtId="0" fontId="4" fillId="0" borderId="0" xfId="0" applyFont="1"/>
    <xf numFmtId="0" fontId="0" fillId="0" borderId="5" xfId="0" applyBorder="1"/>
    <xf numFmtId="0" fontId="4" fillId="0" borderId="6" xfId="0" applyFont="1" applyBorder="1"/>
    <xf numFmtId="0" fontId="0" fillId="0" borderId="7" xfId="0" applyBorder="1"/>
    <xf numFmtId="0" fontId="0" fillId="0" borderId="8" xfId="0" applyBorder="1"/>
    <xf numFmtId="0" fontId="4" fillId="0" borderId="4" xfId="0" quotePrefix="1" applyFont="1" applyBorder="1"/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0" xfId="0" quotePrefix="1" applyBorder="1"/>
    <xf numFmtId="0" fontId="0" fillId="0" borderId="21" xfId="0" applyBorder="1"/>
    <xf numFmtId="0" fontId="4" fillId="0" borderId="20" xfId="0" applyFont="1" applyBorder="1"/>
    <xf numFmtId="164" fontId="1" fillId="0" borderId="22" xfId="1" applyBorder="1"/>
    <xf numFmtId="164" fontId="1" fillId="0" borderId="20" xfId="1" applyBorder="1"/>
    <xf numFmtId="164" fontId="1" fillId="0" borderId="23" xfId="1" applyBorder="1"/>
    <xf numFmtId="0" fontId="4" fillId="0" borderId="20" xfId="0" quotePrefix="1" applyFont="1" applyBorder="1"/>
    <xf numFmtId="0" fontId="4" fillId="0" borderId="24" xfId="0" applyFont="1" applyBorder="1" applyAlignment="1">
      <alignment horizontal="right" vertical="center" wrapText="1"/>
    </xf>
    <xf numFmtId="0" fontId="4" fillId="0" borderId="25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164" fontId="4" fillId="0" borderId="28" xfId="0" applyNumberFormat="1" applyFont="1" applyBorder="1" applyAlignment="1">
      <alignment horizontal="center" vertical="center" wrapText="1"/>
    </xf>
    <xf numFmtId="0" fontId="0" fillId="0" borderId="20" xfId="0" quotePrefix="1" applyBorder="1" applyAlignment="1">
      <alignment horizontal="right"/>
    </xf>
    <xf numFmtId="0" fontId="0" fillId="0" borderId="22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right"/>
    </xf>
    <xf numFmtId="164" fontId="6" fillId="0" borderId="37" xfId="0" applyNumberFormat="1" applyFont="1" applyBorder="1"/>
    <xf numFmtId="164" fontId="0" fillId="0" borderId="0" xfId="0" applyNumberFormat="1"/>
    <xf numFmtId="0" fontId="0" fillId="0" borderId="20" xfId="0" applyBorder="1" applyAlignment="1">
      <alignment horizontal="right"/>
    </xf>
    <xf numFmtId="164" fontId="1" fillId="0" borderId="29" xfId="1" applyBorder="1"/>
    <xf numFmtId="0" fontId="0" fillId="0" borderId="38" xfId="0" applyBorder="1"/>
    <xf numFmtId="0" fontId="0" fillId="0" borderId="32" xfId="0" applyBorder="1" applyAlignment="1">
      <alignment horizontal="right"/>
    </xf>
    <xf numFmtId="164" fontId="1" fillId="0" borderId="39" xfId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" xfId="0" applyBorder="1"/>
    <xf numFmtId="0" fontId="5" fillId="0" borderId="6" xfId="0" applyFont="1" applyBorder="1"/>
    <xf numFmtId="0" fontId="4" fillId="0" borderId="0" xfId="0" applyFont="1" applyAlignment="1">
      <alignment horizontal="right"/>
    </xf>
    <xf numFmtId="0" fontId="0" fillId="0" borderId="43" xfId="0" applyBorder="1"/>
    <xf numFmtId="0" fontId="0" fillId="0" borderId="44" xfId="0" applyBorder="1"/>
    <xf numFmtId="0" fontId="0" fillId="0" borderId="45" xfId="0" applyBorder="1"/>
    <xf numFmtId="39" fontId="0" fillId="0" borderId="22" xfId="0" applyNumberFormat="1" applyBorder="1"/>
    <xf numFmtId="0" fontId="1" fillId="0" borderId="0" xfId="0" applyFont="1"/>
    <xf numFmtId="0" fontId="1" fillId="0" borderId="20" xfId="0" applyFont="1" applyBorder="1"/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1" fillId="0" borderId="0" xfId="0" applyFont="1" applyAlignment="1"/>
    <xf numFmtId="0" fontId="9" fillId="0" borderId="0" xfId="0" applyFont="1"/>
    <xf numFmtId="0" fontId="4" fillId="0" borderId="0" xfId="0" applyFont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0" fillId="0" borderId="20" xfId="0" applyBorder="1" applyAlignment="1">
      <alignment horizontal="left"/>
    </xf>
    <xf numFmtId="0" fontId="0" fillId="0" borderId="20" xfId="0" quotePrefix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34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0" fillId="0" borderId="41" xfId="0" applyNumberFormat="1" applyBorder="1" applyAlignment="1">
      <alignment horizontal="right"/>
    </xf>
    <xf numFmtId="0" fontId="0" fillId="0" borderId="41" xfId="0" applyBorder="1" applyAlignment="1">
      <alignment horizontal="right"/>
    </xf>
    <xf numFmtId="164" fontId="1" fillId="0" borderId="0" xfId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indent="2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166" fontId="4" fillId="0" borderId="0" xfId="2" applyNumberFormat="1" applyFont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4" fillId="0" borderId="24" xfId="0" applyFont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1" fillId="0" borderId="0" xfId="0" applyFont="1" applyAlignment="1">
      <alignment horizontal="left"/>
    </xf>
    <xf numFmtId="164" fontId="6" fillId="0" borderId="46" xfId="0" applyNumberFormat="1" applyFont="1" applyBorder="1"/>
    <xf numFmtId="0" fontId="4" fillId="0" borderId="0" xfId="0" applyFont="1" applyAlignment="1"/>
    <xf numFmtId="0" fontId="7" fillId="0" borderId="0" xfId="0" applyFont="1" applyAlignment="1"/>
  </cellXfs>
  <cellStyles count="4">
    <cellStyle name="Comma" xfId="1" builtinId="3"/>
    <cellStyle name="Currency" xfId="2" builtinId="4"/>
    <cellStyle name="Normal" xfId="0" builtinId="0"/>
    <cellStyle name="Normal 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PC/Downloads/terbilang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terbilang"/>
    </sheetNames>
    <definedNames>
      <definedName name="Terbilang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abSelected="1" view="pageBreakPreview" topLeftCell="A14" zoomScaleSheetLayoutView="100" workbookViewId="0">
      <selection activeCell="O22" sqref="O22"/>
    </sheetView>
  </sheetViews>
  <sheetFormatPr defaultRowHeight="12.5" x14ac:dyDescent="0.25"/>
  <cols>
    <col min="1" max="1" width="4.54296875" customWidth="1"/>
    <col min="2" max="2" width="3.54296875" customWidth="1"/>
    <col min="3" max="7" width="3.7265625" customWidth="1"/>
    <col min="8" max="8" width="1.1796875" customWidth="1"/>
    <col min="9" max="9" width="3.7265625" customWidth="1"/>
    <col min="10" max="10" width="1.36328125" customWidth="1"/>
    <col min="11" max="13" width="6.81640625" customWidth="1"/>
    <col min="14" max="14" width="1.26953125" customWidth="1"/>
    <col min="15" max="15" width="15.1796875" customWidth="1"/>
    <col min="16" max="16" width="15.6328125" customWidth="1"/>
    <col min="17" max="17" width="14.7265625" customWidth="1"/>
    <col min="18" max="18" width="17.1796875" customWidth="1"/>
    <col min="21" max="21" width="15" bestFit="1" customWidth="1"/>
    <col min="257" max="257" width="4.26953125" customWidth="1"/>
    <col min="258" max="258" width="3.54296875" customWidth="1"/>
    <col min="259" max="263" width="3.7265625" customWidth="1"/>
    <col min="264" max="264" width="3.1796875" customWidth="1"/>
    <col min="265" max="265" width="3.7265625" customWidth="1"/>
    <col min="266" max="269" width="6.81640625" customWidth="1"/>
    <col min="270" max="270" width="4.453125" customWidth="1"/>
    <col min="271" max="271" width="15.1796875" customWidth="1"/>
    <col min="272" max="272" width="15" bestFit="1" customWidth="1"/>
    <col min="273" max="273" width="14.7265625" customWidth="1"/>
    <col min="274" max="274" width="15" bestFit="1" customWidth="1"/>
    <col min="277" max="277" width="15" bestFit="1" customWidth="1"/>
    <col min="513" max="513" width="4.26953125" customWidth="1"/>
    <col min="514" max="514" width="3.54296875" customWidth="1"/>
    <col min="515" max="519" width="3.7265625" customWidth="1"/>
    <col min="520" max="520" width="3.1796875" customWidth="1"/>
    <col min="521" max="521" width="3.7265625" customWidth="1"/>
    <col min="522" max="525" width="6.81640625" customWidth="1"/>
    <col min="526" max="526" width="4.453125" customWidth="1"/>
    <col min="527" max="527" width="15.1796875" customWidth="1"/>
    <col min="528" max="528" width="15" bestFit="1" customWidth="1"/>
    <col min="529" max="529" width="14.7265625" customWidth="1"/>
    <col min="530" max="530" width="15" bestFit="1" customWidth="1"/>
    <col min="533" max="533" width="15" bestFit="1" customWidth="1"/>
    <col min="769" max="769" width="4.26953125" customWidth="1"/>
    <col min="770" max="770" width="3.54296875" customWidth="1"/>
    <col min="771" max="775" width="3.7265625" customWidth="1"/>
    <col min="776" max="776" width="3.1796875" customWidth="1"/>
    <col min="777" max="777" width="3.7265625" customWidth="1"/>
    <col min="778" max="781" width="6.81640625" customWidth="1"/>
    <col min="782" max="782" width="4.453125" customWidth="1"/>
    <col min="783" max="783" width="15.1796875" customWidth="1"/>
    <col min="784" max="784" width="15" bestFit="1" customWidth="1"/>
    <col min="785" max="785" width="14.7265625" customWidth="1"/>
    <col min="786" max="786" width="15" bestFit="1" customWidth="1"/>
    <col min="789" max="789" width="15" bestFit="1" customWidth="1"/>
    <col min="1025" max="1025" width="4.26953125" customWidth="1"/>
    <col min="1026" max="1026" width="3.54296875" customWidth="1"/>
    <col min="1027" max="1031" width="3.7265625" customWidth="1"/>
    <col min="1032" max="1032" width="3.1796875" customWidth="1"/>
    <col min="1033" max="1033" width="3.7265625" customWidth="1"/>
    <col min="1034" max="1037" width="6.81640625" customWidth="1"/>
    <col min="1038" max="1038" width="4.453125" customWidth="1"/>
    <col min="1039" max="1039" width="15.1796875" customWidth="1"/>
    <col min="1040" max="1040" width="15" bestFit="1" customWidth="1"/>
    <col min="1041" max="1041" width="14.7265625" customWidth="1"/>
    <col min="1042" max="1042" width="15" bestFit="1" customWidth="1"/>
    <col min="1045" max="1045" width="15" bestFit="1" customWidth="1"/>
    <col min="1281" max="1281" width="4.26953125" customWidth="1"/>
    <col min="1282" max="1282" width="3.54296875" customWidth="1"/>
    <col min="1283" max="1287" width="3.7265625" customWidth="1"/>
    <col min="1288" max="1288" width="3.1796875" customWidth="1"/>
    <col min="1289" max="1289" width="3.7265625" customWidth="1"/>
    <col min="1290" max="1293" width="6.81640625" customWidth="1"/>
    <col min="1294" max="1294" width="4.453125" customWidth="1"/>
    <col min="1295" max="1295" width="15.1796875" customWidth="1"/>
    <col min="1296" max="1296" width="15" bestFit="1" customWidth="1"/>
    <col min="1297" max="1297" width="14.7265625" customWidth="1"/>
    <col min="1298" max="1298" width="15" bestFit="1" customWidth="1"/>
    <col min="1301" max="1301" width="15" bestFit="1" customWidth="1"/>
    <col min="1537" max="1537" width="4.26953125" customWidth="1"/>
    <col min="1538" max="1538" width="3.54296875" customWidth="1"/>
    <col min="1539" max="1543" width="3.7265625" customWidth="1"/>
    <col min="1544" max="1544" width="3.1796875" customWidth="1"/>
    <col min="1545" max="1545" width="3.7265625" customWidth="1"/>
    <col min="1546" max="1549" width="6.81640625" customWidth="1"/>
    <col min="1550" max="1550" width="4.453125" customWidth="1"/>
    <col min="1551" max="1551" width="15.1796875" customWidth="1"/>
    <col min="1552" max="1552" width="15" bestFit="1" customWidth="1"/>
    <col min="1553" max="1553" width="14.7265625" customWidth="1"/>
    <col min="1554" max="1554" width="15" bestFit="1" customWidth="1"/>
    <col min="1557" max="1557" width="15" bestFit="1" customWidth="1"/>
    <col min="1793" max="1793" width="4.26953125" customWidth="1"/>
    <col min="1794" max="1794" width="3.54296875" customWidth="1"/>
    <col min="1795" max="1799" width="3.7265625" customWidth="1"/>
    <col min="1800" max="1800" width="3.1796875" customWidth="1"/>
    <col min="1801" max="1801" width="3.7265625" customWidth="1"/>
    <col min="1802" max="1805" width="6.81640625" customWidth="1"/>
    <col min="1806" max="1806" width="4.453125" customWidth="1"/>
    <col min="1807" max="1807" width="15.1796875" customWidth="1"/>
    <col min="1808" max="1808" width="15" bestFit="1" customWidth="1"/>
    <col min="1809" max="1809" width="14.7265625" customWidth="1"/>
    <col min="1810" max="1810" width="15" bestFit="1" customWidth="1"/>
    <col min="1813" max="1813" width="15" bestFit="1" customWidth="1"/>
    <col min="2049" max="2049" width="4.26953125" customWidth="1"/>
    <col min="2050" max="2050" width="3.54296875" customWidth="1"/>
    <col min="2051" max="2055" width="3.7265625" customWidth="1"/>
    <col min="2056" max="2056" width="3.1796875" customWidth="1"/>
    <col min="2057" max="2057" width="3.7265625" customWidth="1"/>
    <col min="2058" max="2061" width="6.81640625" customWidth="1"/>
    <col min="2062" max="2062" width="4.453125" customWidth="1"/>
    <col min="2063" max="2063" width="15.1796875" customWidth="1"/>
    <col min="2064" max="2064" width="15" bestFit="1" customWidth="1"/>
    <col min="2065" max="2065" width="14.7265625" customWidth="1"/>
    <col min="2066" max="2066" width="15" bestFit="1" customWidth="1"/>
    <col min="2069" max="2069" width="15" bestFit="1" customWidth="1"/>
    <col min="2305" max="2305" width="4.26953125" customWidth="1"/>
    <col min="2306" max="2306" width="3.54296875" customWidth="1"/>
    <col min="2307" max="2311" width="3.7265625" customWidth="1"/>
    <col min="2312" max="2312" width="3.1796875" customWidth="1"/>
    <col min="2313" max="2313" width="3.7265625" customWidth="1"/>
    <col min="2314" max="2317" width="6.81640625" customWidth="1"/>
    <col min="2318" max="2318" width="4.453125" customWidth="1"/>
    <col min="2319" max="2319" width="15.1796875" customWidth="1"/>
    <col min="2320" max="2320" width="15" bestFit="1" customWidth="1"/>
    <col min="2321" max="2321" width="14.7265625" customWidth="1"/>
    <col min="2322" max="2322" width="15" bestFit="1" customWidth="1"/>
    <col min="2325" max="2325" width="15" bestFit="1" customWidth="1"/>
    <col min="2561" max="2561" width="4.26953125" customWidth="1"/>
    <col min="2562" max="2562" width="3.54296875" customWidth="1"/>
    <col min="2563" max="2567" width="3.7265625" customWidth="1"/>
    <col min="2568" max="2568" width="3.1796875" customWidth="1"/>
    <col min="2569" max="2569" width="3.7265625" customWidth="1"/>
    <col min="2570" max="2573" width="6.81640625" customWidth="1"/>
    <col min="2574" max="2574" width="4.453125" customWidth="1"/>
    <col min="2575" max="2575" width="15.1796875" customWidth="1"/>
    <col min="2576" max="2576" width="15" bestFit="1" customWidth="1"/>
    <col min="2577" max="2577" width="14.7265625" customWidth="1"/>
    <col min="2578" max="2578" width="15" bestFit="1" customWidth="1"/>
    <col min="2581" max="2581" width="15" bestFit="1" customWidth="1"/>
    <col min="2817" max="2817" width="4.26953125" customWidth="1"/>
    <col min="2818" max="2818" width="3.54296875" customWidth="1"/>
    <col min="2819" max="2823" width="3.7265625" customWidth="1"/>
    <col min="2824" max="2824" width="3.1796875" customWidth="1"/>
    <col min="2825" max="2825" width="3.7265625" customWidth="1"/>
    <col min="2826" max="2829" width="6.81640625" customWidth="1"/>
    <col min="2830" max="2830" width="4.453125" customWidth="1"/>
    <col min="2831" max="2831" width="15.1796875" customWidth="1"/>
    <col min="2832" max="2832" width="15" bestFit="1" customWidth="1"/>
    <col min="2833" max="2833" width="14.7265625" customWidth="1"/>
    <col min="2834" max="2834" width="15" bestFit="1" customWidth="1"/>
    <col min="2837" max="2837" width="15" bestFit="1" customWidth="1"/>
    <col min="3073" max="3073" width="4.26953125" customWidth="1"/>
    <col min="3074" max="3074" width="3.54296875" customWidth="1"/>
    <col min="3075" max="3079" width="3.7265625" customWidth="1"/>
    <col min="3080" max="3080" width="3.1796875" customWidth="1"/>
    <col min="3081" max="3081" width="3.7265625" customWidth="1"/>
    <col min="3082" max="3085" width="6.81640625" customWidth="1"/>
    <col min="3086" max="3086" width="4.453125" customWidth="1"/>
    <col min="3087" max="3087" width="15.1796875" customWidth="1"/>
    <col min="3088" max="3088" width="15" bestFit="1" customWidth="1"/>
    <col min="3089" max="3089" width="14.7265625" customWidth="1"/>
    <col min="3090" max="3090" width="15" bestFit="1" customWidth="1"/>
    <col min="3093" max="3093" width="15" bestFit="1" customWidth="1"/>
    <col min="3329" max="3329" width="4.26953125" customWidth="1"/>
    <col min="3330" max="3330" width="3.54296875" customWidth="1"/>
    <col min="3331" max="3335" width="3.7265625" customWidth="1"/>
    <col min="3336" max="3336" width="3.1796875" customWidth="1"/>
    <col min="3337" max="3337" width="3.7265625" customWidth="1"/>
    <col min="3338" max="3341" width="6.81640625" customWidth="1"/>
    <col min="3342" max="3342" width="4.453125" customWidth="1"/>
    <col min="3343" max="3343" width="15.1796875" customWidth="1"/>
    <col min="3344" max="3344" width="15" bestFit="1" customWidth="1"/>
    <col min="3345" max="3345" width="14.7265625" customWidth="1"/>
    <col min="3346" max="3346" width="15" bestFit="1" customWidth="1"/>
    <col min="3349" max="3349" width="15" bestFit="1" customWidth="1"/>
    <col min="3585" max="3585" width="4.26953125" customWidth="1"/>
    <col min="3586" max="3586" width="3.54296875" customWidth="1"/>
    <col min="3587" max="3591" width="3.7265625" customWidth="1"/>
    <col min="3592" max="3592" width="3.1796875" customWidth="1"/>
    <col min="3593" max="3593" width="3.7265625" customWidth="1"/>
    <col min="3594" max="3597" width="6.81640625" customWidth="1"/>
    <col min="3598" max="3598" width="4.453125" customWidth="1"/>
    <col min="3599" max="3599" width="15.1796875" customWidth="1"/>
    <col min="3600" max="3600" width="15" bestFit="1" customWidth="1"/>
    <col min="3601" max="3601" width="14.7265625" customWidth="1"/>
    <col min="3602" max="3602" width="15" bestFit="1" customWidth="1"/>
    <col min="3605" max="3605" width="15" bestFit="1" customWidth="1"/>
    <col min="3841" max="3841" width="4.26953125" customWidth="1"/>
    <col min="3842" max="3842" width="3.54296875" customWidth="1"/>
    <col min="3843" max="3847" width="3.7265625" customWidth="1"/>
    <col min="3848" max="3848" width="3.1796875" customWidth="1"/>
    <col min="3849" max="3849" width="3.7265625" customWidth="1"/>
    <col min="3850" max="3853" width="6.81640625" customWidth="1"/>
    <col min="3854" max="3854" width="4.453125" customWidth="1"/>
    <col min="3855" max="3855" width="15.1796875" customWidth="1"/>
    <col min="3856" max="3856" width="15" bestFit="1" customWidth="1"/>
    <col min="3857" max="3857" width="14.7265625" customWidth="1"/>
    <col min="3858" max="3858" width="15" bestFit="1" customWidth="1"/>
    <col min="3861" max="3861" width="15" bestFit="1" customWidth="1"/>
    <col min="4097" max="4097" width="4.26953125" customWidth="1"/>
    <col min="4098" max="4098" width="3.54296875" customWidth="1"/>
    <col min="4099" max="4103" width="3.7265625" customWidth="1"/>
    <col min="4104" max="4104" width="3.1796875" customWidth="1"/>
    <col min="4105" max="4105" width="3.7265625" customWidth="1"/>
    <col min="4106" max="4109" width="6.81640625" customWidth="1"/>
    <col min="4110" max="4110" width="4.453125" customWidth="1"/>
    <col min="4111" max="4111" width="15.1796875" customWidth="1"/>
    <col min="4112" max="4112" width="15" bestFit="1" customWidth="1"/>
    <col min="4113" max="4113" width="14.7265625" customWidth="1"/>
    <col min="4114" max="4114" width="15" bestFit="1" customWidth="1"/>
    <col min="4117" max="4117" width="15" bestFit="1" customWidth="1"/>
    <col min="4353" max="4353" width="4.26953125" customWidth="1"/>
    <col min="4354" max="4354" width="3.54296875" customWidth="1"/>
    <col min="4355" max="4359" width="3.7265625" customWidth="1"/>
    <col min="4360" max="4360" width="3.1796875" customWidth="1"/>
    <col min="4361" max="4361" width="3.7265625" customWidth="1"/>
    <col min="4362" max="4365" width="6.81640625" customWidth="1"/>
    <col min="4366" max="4366" width="4.453125" customWidth="1"/>
    <col min="4367" max="4367" width="15.1796875" customWidth="1"/>
    <col min="4368" max="4368" width="15" bestFit="1" customWidth="1"/>
    <col min="4369" max="4369" width="14.7265625" customWidth="1"/>
    <col min="4370" max="4370" width="15" bestFit="1" customWidth="1"/>
    <col min="4373" max="4373" width="15" bestFit="1" customWidth="1"/>
    <col min="4609" max="4609" width="4.26953125" customWidth="1"/>
    <col min="4610" max="4610" width="3.54296875" customWidth="1"/>
    <col min="4611" max="4615" width="3.7265625" customWidth="1"/>
    <col min="4616" max="4616" width="3.1796875" customWidth="1"/>
    <col min="4617" max="4617" width="3.7265625" customWidth="1"/>
    <col min="4618" max="4621" width="6.81640625" customWidth="1"/>
    <col min="4622" max="4622" width="4.453125" customWidth="1"/>
    <col min="4623" max="4623" width="15.1796875" customWidth="1"/>
    <col min="4624" max="4624" width="15" bestFit="1" customWidth="1"/>
    <col min="4625" max="4625" width="14.7265625" customWidth="1"/>
    <col min="4626" max="4626" width="15" bestFit="1" customWidth="1"/>
    <col min="4629" max="4629" width="15" bestFit="1" customWidth="1"/>
    <col min="4865" max="4865" width="4.26953125" customWidth="1"/>
    <col min="4866" max="4866" width="3.54296875" customWidth="1"/>
    <col min="4867" max="4871" width="3.7265625" customWidth="1"/>
    <col min="4872" max="4872" width="3.1796875" customWidth="1"/>
    <col min="4873" max="4873" width="3.7265625" customWidth="1"/>
    <col min="4874" max="4877" width="6.81640625" customWidth="1"/>
    <col min="4878" max="4878" width="4.453125" customWidth="1"/>
    <col min="4879" max="4879" width="15.1796875" customWidth="1"/>
    <col min="4880" max="4880" width="15" bestFit="1" customWidth="1"/>
    <col min="4881" max="4881" width="14.7265625" customWidth="1"/>
    <col min="4882" max="4882" width="15" bestFit="1" customWidth="1"/>
    <col min="4885" max="4885" width="15" bestFit="1" customWidth="1"/>
    <col min="5121" max="5121" width="4.26953125" customWidth="1"/>
    <col min="5122" max="5122" width="3.54296875" customWidth="1"/>
    <col min="5123" max="5127" width="3.7265625" customWidth="1"/>
    <col min="5128" max="5128" width="3.1796875" customWidth="1"/>
    <col min="5129" max="5129" width="3.7265625" customWidth="1"/>
    <col min="5130" max="5133" width="6.81640625" customWidth="1"/>
    <col min="5134" max="5134" width="4.453125" customWidth="1"/>
    <col min="5135" max="5135" width="15.1796875" customWidth="1"/>
    <col min="5136" max="5136" width="15" bestFit="1" customWidth="1"/>
    <col min="5137" max="5137" width="14.7265625" customWidth="1"/>
    <col min="5138" max="5138" width="15" bestFit="1" customWidth="1"/>
    <col min="5141" max="5141" width="15" bestFit="1" customWidth="1"/>
    <col min="5377" max="5377" width="4.26953125" customWidth="1"/>
    <col min="5378" max="5378" width="3.54296875" customWidth="1"/>
    <col min="5379" max="5383" width="3.7265625" customWidth="1"/>
    <col min="5384" max="5384" width="3.1796875" customWidth="1"/>
    <col min="5385" max="5385" width="3.7265625" customWidth="1"/>
    <col min="5386" max="5389" width="6.81640625" customWidth="1"/>
    <col min="5390" max="5390" width="4.453125" customWidth="1"/>
    <col min="5391" max="5391" width="15.1796875" customWidth="1"/>
    <col min="5392" max="5392" width="15" bestFit="1" customWidth="1"/>
    <col min="5393" max="5393" width="14.7265625" customWidth="1"/>
    <col min="5394" max="5394" width="15" bestFit="1" customWidth="1"/>
    <col min="5397" max="5397" width="15" bestFit="1" customWidth="1"/>
    <col min="5633" max="5633" width="4.26953125" customWidth="1"/>
    <col min="5634" max="5634" width="3.54296875" customWidth="1"/>
    <col min="5635" max="5639" width="3.7265625" customWidth="1"/>
    <col min="5640" max="5640" width="3.1796875" customWidth="1"/>
    <col min="5641" max="5641" width="3.7265625" customWidth="1"/>
    <col min="5642" max="5645" width="6.81640625" customWidth="1"/>
    <col min="5646" max="5646" width="4.453125" customWidth="1"/>
    <col min="5647" max="5647" width="15.1796875" customWidth="1"/>
    <col min="5648" max="5648" width="15" bestFit="1" customWidth="1"/>
    <col min="5649" max="5649" width="14.7265625" customWidth="1"/>
    <col min="5650" max="5650" width="15" bestFit="1" customWidth="1"/>
    <col min="5653" max="5653" width="15" bestFit="1" customWidth="1"/>
    <col min="5889" max="5889" width="4.26953125" customWidth="1"/>
    <col min="5890" max="5890" width="3.54296875" customWidth="1"/>
    <col min="5891" max="5895" width="3.7265625" customWidth="1"/>
    <col min="5896" max="5896" width="3.1796875" customWidth="1"/>
    <col min="5897" max="5897" width="3.7265625" customWidth="1"/>
    <col min="5898" max="5901" width="6.81640625" customWidth="1"/>
    <col min="5902" max="5902" width="4.453125" customWidth="1"/>
    <col min="5903" max="5903" width="15.1796875" customWidth="1"/>
    <col min="5904" max="5904" width="15" bestFit="1" customWidth="1"/>
    <col min="5905" max="5905" width="14.7265625" customWidth="1"/>
    <col min="5906" max="5906" width="15" bestFit="1" customWidth="1"/>
    <col min="5909" max="5909" width="15" bestFit="1" customWidth="1"/>
    <col min="6145" max="6145" width="4.26953125" customWidth="1"/>
    <col min="6146" max="6146" width="3.54296875" customWidth="1"/>
    <col min="6147" max="6151" width="3.7265625" customWidth="1"/>
    <col min="6152" max="6152" width="3.1796875" customWidth="1"/>
    <col min="6153" max="6153" width="3.7265625" customWidth="1"/>
    <col min="6154" max="6157" width="6.81640625" customWidth="1"/>
    <col min="6158" max="6158" width="4.453125" customWidth="1"/>
    <col min="6159" max="6159" width="15.1796875" customWidth="1"/>
    <col min="6160" max="6160" width="15" bestFit="1" customWidth="1"/>
    <col min="6161" max="6161" width="14.7265625" customWidth="1"/>
    <col min="6162" max="6162" width="15" bestFit="1" customWidth="1"/>
    <col min="6165" max="6165" width="15" bestFit="1" customWidth="1"/>
    <col min="6401" max="6401" width="4.26953125" customWidth="1"/>
    <col min="6402" max="6402" width="3.54296875" customWidth="1"/>
    <col min="6403" max="6407" width="3.7265625" customWidth="1"/>
    <col min="6408" max="6408" width="3.1796875" customWidth="1"/>
    <col min="6409" max="6409" width="3.7265625" customWidth="1"/>
    <col min="6410" max="6413" width="6.81640625" customWidth="1"/>
    <col min="6414" max="6414" width="4.453125" customWidth="1"/>
    <col min="6415" max="6415" width="15.1796875" customWidth="1"/>
    <col min="6416" max="6416" width="15" bestFit="1" customWidth="1"/>
    <col min="6417" max="6417" width="14.7265625" customWidth="1"/>
    <col min="6418" max="6418" width="15" bestFit="1" customWidth="1"/>
    <col min="6421" max="6421" width="15" bestFit="1" customWidth="1"/>
    <col min="6657" max="6657" width="4.26953125" customWidth="1"/>
    <col min="6658" max="6658" width="3.54296875" customWidth="1"/>
    <col min="6659" max="6663" width="3.7265625" customWidth="1"/>
    <col min="6664" max="6664" width="3.1796875" customWidth="1"/>
    <col min="6665" max="6665" width="3.7265625" customWidth="1"/>
    <col min="6666" max="6669" width="6.81640625" customWidth="1"/>
    <col min="6670" max="6670" width="4.453125" customWidth="1"/>
    <col min="6671" max="6671" width="15.1796875" customWidth="1"/>
    <col min="6672" max="6672" width="15" bestFit="1" customWidth="1"/>
    <col min="6673" max="6673" width="14.7265625" customWidth="1"/>
    <col min="6674" max="6674" width="15" bestFit="1" customWidth="1"/>
    <col min="6677" max="6677" width="15" bestFit="1" customWidth="1"/>
    <col min="6913" max="6913" width="4.26953125" customWidth="1"/>
    <col min="6914" max="6914" width="3.54296875" customWidth="1"/>
    <col min="6915" max="6919" width="3.7265625" customWidth="1"/>
    <col min="6920" max="6920" width="3.1796875" customWidth="1"/>
    <col min="6921" max="6921" width="3.7265625" customWidth="1"/>
    <col min="6922" max="6925" width="6.81640625" customWidth="1"/>
    <col min="6926" max="6926" width="4.453125" customWidth="1"/>
    <col min="6927" max="6927" width="15.1796875" customWidth="1"/>
    <col min="6928" max="6928" width="15" bestFit="1" customWidth="1"/>
    <col min="6929" max="6929" width="14.7265625" customWidth="1"/>
    <col min="6930" max="6930" width="15" bestFit="1" customWidth="1"/>
    <col min="6933" max="6933" width="15" bestFit="1" customWidth="1"/>
    <col min="7169" max="7169" width="4.26953125" customWidth="1"/>
    <col min="7170" max="7170" width="3.54296875" customWidth="1"/>
    <col min="7171" max="7175" width="3.7265625" customWidth="1"/>
    <col min="7176" max="7176" width="3.1796875" customWidth="1"/>
    <col min="7177" max="7177" width="3.7265625" customWidth="1"/>
    <col min="7178" max="7181" width="6.81640625" customWidth="1"/>
    <col min="7182" max="7182" width="4.453125" customWidth="1"/>
    <col min="7183" max="7183" width="15.1796875" customWidth="1"/>
    <col min="7184" max="7184" width="15" bestFit="1" customWidth="1"/>
    <col min="7185" max="7185" width="14.7265625" customWidth="1"/>
    <col min="7186" max="7186" width="15" bestFit="1" customWidth="1"/>
    <col min="7189" max="7189" width="15" bestFit="1" customWidth="1"/>
    <col min="7425" max="7425" width="4.26953125" customWidth="1"/>
    <col min="7426" max="7426" width="3.54296875" customWidth="1"/>
    <col min="7427" max="7431" width="3.7265625" customWidth="1"/>
    <col min="7432" max="7432" width="3.1796875" customWidth="1"/>
    <col min="7433" max="7433" width="3.7265625" customWidth="1"/>
    <col min="7434" max="7437" width="6.81640625" customWidth="1"/>
    <col min="7438" max="7438" width="4.453125" customWidth="1"/>
    <col min="7439" max="7439" width="15.1796875" customWidth="1"/>
    <col min="7440" max="7440" width="15" bestFit="1" customWidth="1"/>
    <col min="7441" max="7441" width="14.7265625" customWidth="1"/>
    <col min="7442" max="7442" width="15" bestFit="1" customWidth="1"/>
    <col min="7445" max="7445" width="15" bestFit="1" customWidth="1"/>
    <col min="7681" max="7681" width="4.26953125" customWidth="1"/>
    <col min="7682" max="7682" width="3.54296875" customWidth="1"/>
    <col min="7683" max="7687" width="3.7265625" customWidth="1"/>
    <col min="7688" max="7688" width="3.1796875" customWidth="1"/>
    <col min="7689" max="7689" width="3.7265625" customWidth="1"/>
    <col min="7690" max="7693" width="6.81640625" customWidth="1"/>
    <col min="7694" max="7694" width="4.453125" customWidth="1"/>
    <col min="7695" max="7695" width="15.1796875" customWidth="1"/>
    <col min="7696" max="7696" width="15" bestFit="1" customWidth="1"/>
    <col min="7697" max="7697" width="14.7265625" customWidth="1"/>
    <col min="7698" max="7698" width="15" bestFit="1" customWidth="1"/>
    <col min="7701" max="7701" width="15" bestFit="1" customWidth="1"/>
    <col min="7937" max="7937" width="4.26953125" customWidth="1"/>
    <col min="7938" max="7938" width="3.54296875" customWidth="1"/>
    <col min="7939" max="7943" width="3.7265625" customWidth="1"/>
    <col min="7944" max="7944" width="3.1796875" customWidth="1"/>
    <col min="7945" max="7945" width="3.7265625" customWidth="1"/>
    <col min="7946" max="7949" width="6.81640625" customWidth="1"/>
    <col min="7950" max="7950" width="4.453125" customWidth="1"/>
    <col min="7951" max="7951" width="15.1796875" customWidth="1"/>
    <col min="7952" max="7952" width="15" bestFit="1" customWidth="1"/>
    <col min="7953" max="7953" width="14.7265625" customWidth="1"/>
    <col min="7954" max="7954" width="15" bestFit="1" customWidth="1"/>
    <col min="7957" max="7957" width="15" bestFit="1" customWidth="1"/>
    <col min="8193" max="8193" width="4.26953125" customWidth="1"/>
    <col min="8194" max="8194" width="3.54296875" customWidth="1"/>
    <col min="8195" max="8199" width="3.7265625" customWidth="1"/>
    <col min="8200" max="8200" width="3.1796875" customWidth="1"/>
    <col min="8201" max="8201" width="3.7265625" customWidth="1"/>
    <col min="8202" max="8205" width="6.81640625" customWidth="1"/>
    <col min="8206" max="8206" width="4.453125" customWidth="1"/>
    <col min="8207" max="8207" width="15.1796875" customWidth="1"/>
    <col min="8208" max="8208" width="15" bestFit="1" customWidth="1"/>
    <col min="8209" max="8209" width="14.7265625" customWidth="1"/>
    <col min="8210" max="8210" width="15" bestFit="1" customWidth="1"/>
    <col min="8213" max="8213" width="15" bestFit="1" customWidth="1"/>
    <col min="8449" max="8449" width="4.26953125" customWidth="1"/>
    <col min="8450" max="8450" width="3.54296875" customWidth="1"/>
    <col min="8451" max="8455" width="3.7265625" customWidth="1"/>
    <col min="8456" max="8456" width="3.1796875" customWidth="1"/>
    <col min="8457" max="8457" width="3.7265625" customWidth="1"/>
    <col min="8458" max="8461" width="6.81640625" customWidth="1"/>
    <col min="8462" max="8462" width="4.453125" customWidth="1"/>
    <col min="8463" max="8463" width="15.1796875" customWidth="1"/>
    <col min="8464" max="8464" width="15" bestFit="1" customWidth="1"/>
    <col min="8465" max="8465" width="14.7265625" customWidth="1"/>
    <col min="8466" max="8466" width="15" bestFit="1" customWidth="1"/>
    <col min="8469" max="8469" width="15" bestFit="1" customWidth="1"/>
    <col min="8705" max="8705" width="4.26953125" customWidth="1"/>
    <col min="8706" max="8706" width="3.54296875" customWidth="1"/>
    <col min="8707" max="8711" width="3.7265625" customWidth="1"/>
    <col min="8712" max="8712" width="3.1796875" customWidth="1"/>
    <col min="8713" max="8713" width="3.7265625" customWidth="1"/>
    <col min="8714" max="8717" width="6.81640625" customWidth="1"/>
    <col min="8718" max="8718" width="4.453125" customWidth="1"/>
    <col min="8719" max="8719" width="15.1796875" customWidth="1"/>
    <col min="8720" max="8720" width="15" bestFit="1" customWidth="1"/>
    <col min="8721" max="8721" width="14.7265625" customWidth="1"/>
    <col min="8722" max="8722" width="15" bestFit="1" customWidth="1"/>
    <col min="8725" max="8725" width="15" bestFit="1" customWidth="1"/>
    <col min="8961" max="8961" width="4.26953125" customWidth="1"/>
    <col min="8962" max="8962" width="3.54296875" customWidth="1"/>
    <col min="8963" max="8967" width="3.7265625" customWidth="1"/>
    <col min="8968" max="8968" width="3.1796875" customWidth="1"/>
    <col min="8969" max="8969" width="3.7265625" customWidth="1"/>
    <col min="8970" max="8973" width="6.81640625" customWidth="1"/>
    <col min="8974" max="8974" width="4.453125" customWidth="1"/>
    <col min="8975" max="8975" width="15.1796875" customWidth="1"/>
    <col min="8976" max="8976" width="15" bestFit="1" customWidth="1"/>
    <col min="8977" max="8977" width="14.7265625" customWidth="1"/>
    <col min="8978" max="8978" width="15" bestFit="1" customWidth="1"/>
    <col min="8981" max="8981" width="15" bestFit="1" customWidth="1"/>
    <col min="9217" max="9217" width="4.26953125" customWidth="1"/>
    <col min="9218" max="9218" width="3.54296875" customWidth="1"/>
    <col min="9219" max="9223" width="3.7265625" customWidth="1"/>
    <col min="9224" max="9224" width="3.1796875" customWidth="1"/>
    <col min="9225" max="9225" width="3.7265625" customWidth="1"/>
    <col min="9226" max="9229" width="6.81640625" customWidth="1"/>
    <col min="9230" max="9230" width="4.453125" customWidth="1"/>
    <col min="9231" max="9231" width="15.1796875" customWidth="1"/>
    <col min="9232" max="9232" width="15" bestFit="1" customWidth="1"/>
    <col min="9233" max="9233" width="14.7265625" customWidth="1"/>
    <col min="9234" max="9234" width="15" bestFit="1" customWidth="1"/>
    <col min="9237" max="9237" width="15" bestFit="1" customWidth="1"/>
    <col min="9473" max="9473" width="4.26953125" customWidth="1"/>
    <col min="9474" max="9474" width="3.54296875" customWidth="1"/>
    <col min="9475" max="9479" width="3.7265625" customWidth="1"/>
    <col min="9480" max="9480" width="3.1796875" customWidth="1"/>
    <col min="9481" max="9481" width="3.7265625" customWidth="1"/>
    <col min="9482" max="9485" width="6.81640625" customWidth="1"/>
    <col min="9486" max="9486" width="4.453125" customWidth="1"/>
    <col min="9487" max="9487" width="15.1796875" customWidth="1"/>
    <col min="9488" max="9488" width="15" bestFit="1" customWidth="1"/>
    <col min="9489" max="9489" width="14.7265625" customWidth="1"/>
    <col min="9490" max="9490" width="15" bestFit="1" customWidth="1"/>
    <col min="9493" max="9493" width="15" bestFit="1" customWidth="1"/>
    <col min="9729" max="9729" width="4.26953125" customWidth="1"/>
    <col min="9730" max="9730" width="3.54296875" customWidth="1"/>
    <col min="9731" max="9735" width="3.7265625" customWidth="1"/>
    <col min="9736" max="9736" width="3.1796875" customWidth="1"/>
    <col min="9737" max="9737" width="3.7265625" customWidth="1"/>
    <col min="9738" max="9741" width="6.81640625" customWidth="1"/>
    <col min="9742" max="9742" width="4.453125" customWidth="1"/>
    <col min="9743" max="9743" width="15.1796875" customWidth="1"/>
    <col min="9744" max="9744" width="15" bestFit="1" customWidth="1"/>
    <col min="9745" max="9745" width="14.7265625" customWidth="1"/>
    <col min="9746" max="9746" width="15" bestFit="1" customWidth="1"/>
    <col min="9749" max="9749" width="15" bestFit="1" customWidth="1"/>
    <col min="9985" max="9985" width="4.26953125" customWidth="1"/>
    <col min="9986" max="9986" width="3.54296875" customWidth="1"/>
    <col min="9987" max="9991" width="3.7265625" customWidth="1"/>
    <col min="9992" max="9992" width="3.1796875" customWidth="1"/>
    <col min="9993" max="9993" width="3.7265625" customWidth="1"/>
    <col min="9994" max="9997" width="6.81640625" customWidth="1"/>
    <col min="9998" max="9998" width="4.453125" customWidth="1"/>
    <col min="9999" max="9999" width="15.1796875" customWidth="1"/>
    <col min="10000" max="10000" width="15" bestFit="1" customWidth="1"/>
    <col min="10001" max="10001" width="14.7265625" customWidth="1"/>
    <col min="10002" max="10002" width="15" bestFit="1" customWidth="1"/>
    <col min="10005" max="10005" width="15" bestFit="1" customWidth="1"/>
    <col min="10241" max="10241" width="4.26953125" customWidth="1"/>
    <col min="10242" max="10242" width="3.54296875" customWidth="1"/>
    <col min="10243" max="10247" width="3.7265625" customWidth="1"/>
    <col min="10248" max="10248" width="3.1796875" customWidth="1"/>
    <col min="10249" max="10249" width="3.7265625" customWidth="1"/>
    <col min="10250" max="10253" width="6.81640625" customWidth="1"/>
    <col min="10254" max="10254" width="4.453125" customWidth="1"/>
    <col min="10255" max="10255" width="15.1796875" customWidth="1"/>
    <col min="10256" max="10256" width="15" bestFit="1" customWidth="1"/>
    <col min="10257" max="10257" width="14.7265625" customWidth="1"/>
    <col min="10258" max="10258" width="15" bestFit="1" customWidth="1"/>
    <col min="10261" max="10261" width="15" bestFit="1" customWidth="1"/>
    <col min="10497" max="10497" width="4.26953125" customWidth="1"/>
    <col min="10498" max="10498" width="3.54296875" customWidth="1"/>
    <col min="10499" max="10503" width="3.7265625" customWidth="1"/>
    <col min="10504" max="10504" width="3.1796875" customWidth="1"/>
    <col min="10505" max="10505" width="3.7265625" customWidth="1"/>
    <col min="10506" max="10509" width="6.81640625" customWidth="1"/>
    <col min="10510" max="10510" width="4.453125" customWidth="1"/>
    <col min="10511" max="10511" width="15.1796875" customWidth="1"/>
    <col min="10512" max="10512" width="15" bestFit="1" customWidth="1"/>
    <col min="10513" max="10513" width="14.7265625" customWidth="1"/>
    <col min="10514" max="10514" width="15" bestFit="1" customWidth="1"/>
    <col min="10517" max="10517" width="15" bestFit="1" customWidth="1"/>
    <col min="10753" max="10753" width="4.26953125" customWidth="1"/>
    <col min="10754" max="10754" width="3.54296875" customWidth="1"/>
    <col min="10755" max="10759" width="3.7265625" customWidth="1"/>
    <col min="10760" max="10760" width="3.1796875" customWidth="1"/>
    <col min="10761" max="10761" width="3.7265625" customWidth="1"/>
    <col min="10762" max="10765" width="6.81640625" customWidth="1"/>
    <col min="10766" max="10766" width="4.453125" customWidth="1"/>
    <col min="10767" max="10767" width="15.1796875" customWidth="1"/>
    <col min="10768" max="10768" width="15" bestFit="1" customWidth="1"/>
    <col min="10769" max="10769" width="14.7265625" customWidth="1"/>
    <col min="10770" max="10770" width="15" bestFit="1" customWidth="1"/>
    <col min="10773" max="10773" width="15" bestFit="1" customWidth="1"/>
    <col min="11009" max="11009" width="4.26953125" customWidth="1"/>
    <col min="11010" max="11010" width="3.54296875" customWidth="1"/>
    <col min="11011" max="11015" width="3.7265625" customWidth="1"/>
    <col min="11016" max="11016" width="3.1796875" customWidth="1"/>
    <col min="11017" max="11017" width="3.7265625" customWidth="1"/>
    <col min="11018" max="11021" width="6.81640625" customWidth="1"/>
    <col min="11022" max="11022" width="4.453125" customWidth="1"/>
    <col min="11023" max="11023" width="15.1796875" customWidth="1"/>
    <col min="11024" max="11024" width="15" bestFit="1" customWidth="1"/>
    <col min="11025" max="11025" width="14.7265625" customWidth="1"/>
    <col min="11026" max="11026" width="15" bestFit="1" customWidth="1"/>
    <col min="11029" max="11029" width="15" bestFit="1" customWidth="1"/>
    <col min="11265" max="11265" width="4.26953125" customWidth="1"/>
    <col min="11266" max="11266" width="3.54296875" customWidth="1"/>
    <col min="11267" max="11271" width="3.7265625" customWidth="1"/>
    <col min="11272" max="11272" width="3.1796875" customWidth="1"/>
    <col min="11273" max="11273" width="3.7265625" customWidth="1"/>
    <col min="11274" max="11277" width="6.81640625" customWidth="1"/>
    <col min="11278" max="11278" width="4.453125" customWidth="1"/>
    <col min="11279" max="11279" width="15.1796875" customWidth="1"/>
    <col min="11280" max="11280" width="15" bestFit="1" customWidth="1"/>
    <col min="11281" max="11281" width="14.7265625" customWidth="1"/>
    <col min="11282" max="11282" width="15" bestFit="1" customWidth="1"/>
    <col min="11285" max="11285" width="15" bestFit="1" customWidth="1"/>
    <col min="11521" max="11521" width="4.26953125" customWidth="1"/>
    <col min="11522" max="11522" width="3.54296875" customWidth="1"/>
    <col min="11523" max="11527" width="3.7265625" customWidth="1"/>
    <col min="11528" max="11528" width="3.1796875" customWidth="1"/>
    <col min="11529" max="11529" width="3.7265625" customWidth="1"/>
    <col min="11530" max="11533" width="6.81640625" customWidth="1"/>
    <col min="11534" max="11534" width="4.453125" customWidth="1"/>
    <col min="11535" max="11535" width="15.1796875" customWidth="1"/>
    <col min="11536" max="11536" width="15" bestFit="1" customWidth="1"/>
    <col min="11537" max="11537" width="14.7265625" customWidth="1"/>
    <col min="11538" max="11538" width="15" bestFit="1" customWidth="1"/>
    <col min="11541" max="11541" width="15" bestFit="1" customWidth="1"/>
    <col min="11777" max="11777" width="4.26953125" customWidth="1"/>
    <col min="11778" max="11778" width="3.54296875" customWidth="1"/>
    <col min="11779" max="11783" width="3.7265625" customWidth="1"/>
    <col min="11784" max="11784" width="3.1796875" customWidth="1"/>
    <col min="11785" max="11785" width="3.7265625" customWidth="1"/>
    <col min="11786" max="11789" width="6.81640625" customWidth="1"/>
    <col min="11790" max="11790" width="4.453125" customWidth="1"/>
    <col min="11791" max="11791" width="15.1796875" customWidth="1"/>
    <col min="11792" max="11792" width="15" bestFit="1" customWidth="1"/>
    <col min="11793" max="11793" width="14.7265625" customWidth="1"/>
    <col min="11794" max="11794" width="15" bestFit="1" customWidth="1"/>
    <col min="11797" max="11797" width="15" bestFit="1" customWidth="1"/>
    <col min="12033" max="12033" width="4.26953125" customWidth="1"/>
    <col min="12034" max="12034" width="3.54296875" customWidth="1"/>
    <col min="12035" max="12039" width="3.7265625" customWidth="1"/>
    <col min="12040" max="12040" width="3.1796875" customWidth="1"/>
    <col min="12041" max="12041" width="3.7265625" customWidth="1"/>
    <col min="12042" max="12045" width="6.81640625" customWidth="1"/>
    <col min="12046" max="12046" width="4.453125" customWidth="1"/>
    <col min="12047" max="12047" width="15.1796875" customWidth="1"/>
    <col min="12048" max="12048" width="15" bestFit="1" customWidth="1"/>
    <col min="12049" max="12049" width="14.7265625" customWidth="1"/>
    <col min="12050" max="12050" width="15" bestFit="1" customWidth="1"/>
    <col min="12053" max="12053" width="15" bestFit="1" customWidth="1"/>
    <col min="12289" max="12289" width="4.26953125" customWidth="1"/>
    <col min="12290" max="12290" width="3.54296875" customWidth="1"/>
    <col min="12291" max="12295" width="3.7265625" customWidth="1"/>
    <col min="12296" max="12296" width="3.1796875" customWidth="1"/>
    <col min="12297" max="12297" width="3.7265625" customWidth="1"/>
    <col min="12298" max="12301" width="6.81640625" customWidth="1"/>
    <col min="12302" max="12302" width="4.453125" customWidth="1"/>
    <col min="12303" max="12303" width="15.1796875" customWidth="1"/>
    <col min="12304" max="12304" width="15" bestFit="1" customWidth="1"/>
    <col min="12305" max="12305" width="14.7265625" customWidth="1"/>
    <col min="12306" max="12306" width="15" bestFit="1" customWidth="1"/>
    <col min="12309" max="12309" width="15" bestFit="1" customWidth="1"/>
    <col min="12545" max="12545" width="4.26953125" customWidth="1"/>
    <col min="12546" max="12546" width="3.54296875" customWidth="1"/>
    <col min="12547" max="12551" width="3.7265625" customWidth="1"/>
    <col min="12552" max="12552" width="3.1796875" customWidth="1"/>
    <col min="12553" max="12553" width="3.7265625" customWidth="1"/>
    <col min="12554" max="12557" width="6.81640625" customWidth="1"/>
    <col min="12558" max="12558" width="4.453125" customWidth="1"/>
    <col min="12559" max="12559" width="15.1796875" customWidth="1"/>
    <col min="12560" max="12560" width="15" bestFit="1" customWidth="1"/>
    <col min="12561" max="12561" width="14.7265625" customWidth="1"/>
    <col min="12562" max="12562" width="15" bestFit="1" customWidth="1"/>
    <col min="12565" max="12565" width="15" bestFit="1" customWidth="1"/>
    <col min="12801" max="12801" width="4.26953125" customWidth="1"/>
    <col min="12802" max="12802" width="3.54296875" customWidth="1"/>
    <col min="12803" max="12807" width="3.7265625" customWidth="1"/>
    <col min="12808" max="12808" width="3.1796875" customWidth="1"/>
    <col min="12809" max="12809" width="3.7265625" customWidth="1"/>
    <col min="12810" max="12813" width="6.81640625" customWidth="1"/>
    <col min="12814" max="12814" width="4.453125" customWidth="1"/>
    <col min="12815" max="12815" width="15.1796875" customWidth="1"/>
    <col min="12816" max="12816" width="15" bestFit="1" customWidth="1"/>
    <col min="12817" max="12817" width="14.7265625" customWidth="1"/>
    <col min="12818" max="12818" width="15" bestFit="1" customWidth="1"/>
    <col min="12821" max="12821" width="15" bestFit="1" customWidth="1"/>
    <col min="13057" max="13057" width="4.26953125" customWidth="1"/>
    <col min="13058" max="13058" width="3.54296875" customWidth="1"/>
    <col min="13059" max="13063" width="3.7265625" customWidth="1"/>
    <col min="13064" max="13064" width="3.1796875" customWidth="1"/>
    <col min="13065" max="13065" width="3.7265625" customWidth="1"/>
    <col min="13066" max="13069" width="6.81640625" customWidth="1"/>
    <col min="13070" max="13070" width="4.453125" customWidth="1"/>
    <col min="13071" max="13071" width="15.1796875" customWidth="1"/>
    <col min="13072" max="13072" width="15" bestFit="1" customWidth="1"/>
    <col min="13073" max="13073" width="14.7265625" customWidth="1"/>
    <col min="13074" max="13074" width="15" bestFit="1" customWidth="1"/>
    <col min="13077" max="13077" width="15" bestFit="1" customWidth="1"/>
    <col min="13313" max="13313" width="4.26953125" customWidth="1"/>
    <col min="13314" max="13314" width="3.54296875" customWidth="1"/>
    <col min="13315" max="13319" width="3.7265625" customWidth="1"/>
    <col min="13320" max="13320" width="3.1796875" customWidth="1"/>
    <col min="13321" max="13321" width="3.7265625" customWidth="1"/>
    <col min="13322" max="13325" width="6.81640625" customWidth="1"/>
    <col min="13326" max="13326" width="4.453125" customWidth="1"/>
    <col min="13327" max="13327" width="15.1796875" customWidth="1"/>
    <col min="13328" max="13328" width="15" bestFit="1" customWidth="1"/>
    <col min="13329" max="13329" width="14.7265625" customWidth="1"/>
    <col min="13330" max="13330" width="15" bestFit="1" customWidth="1"/>
    <col min="13333" max="13333" width="15" bestFit="1" customWidth="1"/>
    <col min="13569" max="13569" width="4.26953125" customWidth="1"/>
    <col min="13570" max="13570" width="3.54296875" customWidth="1"/>
    <col min="13571" max="13575" width="3.7265625" customWidth="1"/>
    <col min="13576" max="13576" width="3.1796875" customWidth="1"/>
    <col min="13577" max="13577" width="3.7265625" customWidth="1"/>
    <col min="13578" max="13581" width="6.81640625" customWidth="1"/>
    <col min="13582" max="13582" width="4.453125" customWidth="1"/>
    <col min="13583" max="13583" width="15.1796875" customWidth="1"/>
    <col min="13584" max="13584" width="15" bestFit="1" customWidth="1"/>
    <col min="13585" max="13585" width="14.7265625" customWidth="1"/>
    <col min="13586" max="13586" width="15" bestFit="1" customWidth="1"/>
    <col min="13589" max="13589" width="15" bestFit="1" customWidth="1"/>
    <col min="13825" max="13825" width="4.26953125" customWidth="1"/>
    <col min="13826" max="13826" width="3.54296875" customWidth="1"/>
    <col min="13827" max="13831" width="3.7265625" customWidth="1"/>
    <col min="13832" max="13832" width="3.1796875" customWidth="1"/>
    <col min="13833" max="13833" width="3.7265625" customWidth="1"/>
    <col min="13834" max="13837" width="6.81640625" customWidth="1"/>
    <col min="13838" max="13838" width="4.453125" customWidth="1"/>
    <col min="13839" max="13839" width="15.1796875" customWidth="1"/>
    <col min="13840" max="13840" width="15" bestFit="1" customWidth="1"/>
    <col min="13841" max="13841" width="14.7265625" customWidth="1"/>
    <col min="13842" max="13842" width="15" bestFit="1" customWidth="1"/>
    <col min="13845" max="13845" width="15" bestFit="1" customWidth="1"/>
    <col min="14081" max="14081" width="4.26953125" customWidth="1"/>
    <col min="14082" max="14082" width="3.54296875" customWidth="1"/>
    <col min="14083" max="14087" width="3.7265625" customWidth="1"/>
    <col min="14088" max="14088" width="3.1796875" customWidth="1"/>
    <col min="14089" max="14089" width="3.7265625" customWidth="1"/>
    <col min="14090" max="14093" width="6.81640625" customWidth="1"/>
    <col min="14094" max="14094" width="4.453125" customWidth="1"/>
    <col min="14095" max="14095" width="15.1796875" customWidth="1"/>
    <col min="14096" max="14096" width="15" bestFit="1" customWidth="1"/>
    <col min="14097" max="14097" width="14.7265625" customWidth="1"/>
    <col min="14098" max="14098" width="15" bestFit="1" customWidth="1"/>
    <col min="14101" max="14101" width="15" bestFit="1" customWidth="1"/>
    <col min="14337" max="14337" width="4.26953125" customWidth="1"/>
    <col min="14338" max="14338" width="3.54296875" customWidth="1"/>
    <col min="14339" max="14343" width="3.7265625" customWidth="1"/>
    <col min="14344" max="14344" width="3.1796875" customWidth="1"/>
    <col min="14345" max="14345" width="3.7265625" customWidth="1"/>
    <col min="14346" max="14349" width="6.81640625" customWidth="1"/>
    <col min="14350" max="14350" width="4.453125" customWidth="1"/>
    <col min="14351" max="14351" width="15.1796875" customWidth="1"/>
    <col min="14352" max="14352" width="15" bestFit="1" customWidth="1"/>
    <col min="14353" max="14353" width="14.7265625" customWidth="1"/>
    <col min="14354" max="14354" width="15" bestFit="1" customWidth="1"/>
    <col min="14357" max="14357" width="15" bestFit="1" customWidth="1"/>
    <col min="14593" max="14593" width="4.26953125" customWidth="1"/>
    <col min="14594" max="14594" width="3.54296875" customWidth="1"/>
    <col min="14595" max="14599" width="3.7265625" customWidth="1"/>
    <col min="14600" max="14600" width="3.1796875" customWidth="1"/>
    <col min="14601" max="14601" width="3.7265625" customWidth="1"/>
    <col min="14602" max="14605" width="6.81640625" customWidth="1"/>
    <col min="14606" max="14606" width="4.453125" customWidth="1"/>
    <col min="14607" max="14607" width="15.1796875" customWidth="1"/>
    <col min="14608" max="14608" width="15" bestFit="1" customWidth="1"/>
    <col min="14609" max="14609" width="14.7265625" customWidth="1"/>
    <col min="14610" max="14610" width="15" bestFit="1" customWidth="1"/>
    <col min="14613" max="14613" width="15" bestFit="1" customWidth="1"/>
    <col min="14849" max="14849" width="4.26953125" customWidth="1"/>
    <col min="14850" max="14850" width="3.54296875" customWidth="1"/>
    <col min="14851" max="14855" width="3.7265625" customWidth="1"/>
    <col min="14856" max="14856" width="3.1796875" customWidth="1"/>
    <col min="14857" max="14857" width="3.7265625" customWidth="1"/>
    <col min="14858" max="14861" width="6.81640625" customWidth="1"/>
    <col min="14862" max="14862" width="4.453125" customWidth="1"/>
    <col min="14863" max="14863" width="15.1796875" customWidth="1"/>
    <col min="14864" max="14864" width="15" bestFit="1" customWidth="1"/>
    <col min="14865" max="14865" width="14.7265625" customWidth="1"/>
    <col min="14866" max="14866" width="15" bestFit="1" customWidth="1"/>
    <col min="14869" max="14869" width="15" bestFit="1" customWidth="1"/>
    <col min="15105" max="15105" width="4.26953125" customWidth="1"/>
    <col min="15106" max="15106" width="3.54296875" customWidth="1"/>
    <col min="15107" max="15111" width="3.7265625" customWidth="1"/>
    <col min="15112" max="15112" width="3.1796875" customWidth="1"/>
    <col min="15113" max="15113" width="3.7265625" customWidth="1"/>
    <col min="15114" max="15117" width="6.81640625" customWidth="1"/>
    <col min="15118" max="15118" width="4.453125" customWidth="1"/>
    <col min="15119" max="15119" width="15.1796875" customWidth="1"/>
    <col min="15120" max="15120" width="15" bestFit="1" customWidth="1"/>
    <col min="15121" max="15121" width="14.7265625" customWidth="1"/>
    <col min="15122" max="15122" width="15" bestFit="1" customWidth="1"/>
    <col min="15125" max="15125" width="15" bestFit="1" customWidth="1"/>
    <col min="15361" max="15361" width="4.26953125" customWidth="1"/>
    <col min="15362" max="15362" width="3.54296875" customWidth="1"/>
    <col min="15363" max="15367" width="3.7265625" customWidth="1"/>
    <col min="15368" max="15368" width="3.1796875" customWidth="1"/>
    <col min="15369" max="15369" width="3.7265625" customWidth="1"/>
    <col min="15370" max="15373" width="6.81640625" customWidth="1"/>
    <col min="15374" max="15374" width="4.453125" customWidth="1"/>
    <col min="15375" max="15375" width="15.1796875" customWidth="1"/>
    <col min="15376" max="15376" width="15" bestFit="1" customWidth="1"/>
    <col min="15377" max="15377" width="14.7265625" customWidth="1"/>
    <col min="15378" max="15378" width="15" bestFit="1" customWidth="1"/>
    <col min="15381" max="15381" width="15" bestFit="1" customWidth="1"/>
    <col min="15617" max="15617" width="4.26953125" customWidth="1"/>
    <col min="15618" max="15618" width="3.54296875" customWidth="1"/>
    <col min="15619" max="15623" width="3.7265625" customWidth="1"/>
    <col min="15624" max="15624" width="3.1796875" customWidth="1"/>
    <col min="15625" max="15625" width="3.7265625" customWidth="1"/>
    <col min="15626" max="15629" width="6.81640625" customWidth="1"/>
    <col min="15630" max="15630" width="4.453125" customWidth="1"/>
    <col min="15631" max="15631" width="15.1796875" customWidth="1"/>
    <col min="15632" max="15632" width="15" bestFit="1" customWidth="1"/>
    <col min="15633" max="15633" width="14.7265625" customWidth="1"/>
    <col min="15634" max="15634" width="15" bestFit="1" customWidth="1"/>
    <col min="15637" max="15637" width="15" bestFit="1" customWidth="1"/>
    <col min="15873" max="15873" width="4.26953125" customWidth="1"/>
    <col min="15874" max="15874" width="3.54296875" customWidth="1"/>
    <col min="15875" max="15879" width="3.7265625" customWidth="1"/>
    <col min="15880" max="15880" width="3.1796875" customWidth="1"/>
    <col min="15881" max="15881" width="3.7265625" customWidth="1"/>
    <col min="15882" max="15885" width="6.81640625" customWidth="1"/>
    <col min="15886" max="15886" width="4.453125" customWidth="1"/>
    <col min="15887" max="15887" width="15.1796875" customWidth="1"/>
    <col min="15888" max="15888" width="15" bestFit="1" customWidth="1"/>
    <col min="15889" max="15889" width="14.7265625" customWidth="1"/>
    <col min="15890" max="15890" width="15" bestFit="1" customWidth="1"/>
    <col min="15893" max="15893" width="15" bestFit="1" customWidth="1"/>
    <col min="16129" max="16129" width="4.26953125" customWidth="1"/>
    <col min="16130" max="16130" width="3.54296875" customWidth="1"/>
    <col min="16131" max="16135" width="3.7265625" customWidth="1"/>
    <col min="16136" max="16136" width="3.1796875" customWidth="1"/>
    <col min="16137" max="16137" width="3.7265625" customWidth="1"/>
    <col min="16138" max="16141" width="6.81640625" customWidth="1"/>
    <col min="16142" max="16142" width="4.453125" customWidth="1"/>
    <col min="16143" max="16143" width="15.1796875" customWidth="1"/>
    <col min="16144" max="16144" width="15" bestFit="1" customWidth="1"/>
    <col min="16145" max="16145" width="14.7265625" customWidth="1"/>
    <col min="16146" max="16146" width="15" bestFit="1" customWidth="1"/>
    <col min="16149" max="16149" width="15" bestFit="1" customWidth="1"/>
  </cols>
  <sheetData>
    <row r="1" spans="1:18" ht="15.5" x14ac:dyDescent="0.35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</row>
    <row r="2" spans="1:18" ht="15.5" x14ac:dyDescent="0.35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spans="1:18" ht="15.5" x14ac:dyDescent="0.35">
      <c r="A3" s="95" t="s">
        <v>2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</row>
    <row r="4" spans="1:18" x14ac:dyDescent="0.25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</row>
    <row r="5" spans="1:18" ht="13" thickBot="1" x14ac:dyDescent="0.3"/>
    <row r="6" spans="1:18" ht="13" thickTop="1" x14ac:dyDescent="0.25">
      <c r="A6" s="1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</row>
    <row r="7" spans="1:18" x14ac:dyDescent="0.25">
      <c r="A7" s="4" t="s">
        <v>4</v>
      </c>
      <c r="C7" s="58" t="s">
        <v>67</v>
      </c>
      <c r="R7" s="6"/>
    </row>
    <row r="8" spans="1:18" ht="13" thickBot="1" x14ac:dyDescent="0.3">
      <c r="A8" s="7" t="s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9"/>
    </row>
    <row r="9" spans="1:18" x14ac:dyDescent="0.25">
      <c r="A9" s="104" t="s">
        <v>6</v>
      </c>
      <c r="B9" s="65" t="s">
        <v>7</v>
      </c>
      <c r="I9" s="5"/>
      <c r="J9" s="5" t="s">
        <v>8</v>
      </c>
      <c r="K9" s="58" t="s">
        <v>68</v>
      </c>
      <c r="R9" s="6"/>
    </row>
    <row r="10" spans="1:18" x14ac:dyDescent="0.25">
      <c r="A10" s="104" t="s">
        <v>9</v>
      </c>
      <c r="B10" s="5" t="s">
        <v>10</v>
      </c>
      <c r="I10" s="5"/>
      <c r="J10" s="5" t="s">
        <v>8</v>
      </c>
      <c r="K10" s="58" t="s">
        <v>75</v>
      </c>
      <c r="O10" s="65" t="s">
        <v>69</v>
      </c>
      <c r="R10" s="6"/>
    </row>
    <row r="11" spans="1:18" x14ac:dyDescent="0.25">
      <c r="A11" s="104" t="s">
        <v>11</v>
      </c>
      <c r="B11" s="5" t="s">
        <v>12</v>
      </c>
      <c r="I11" s="5"/>
      <c r="J11" s="5" t="s">
        <v>8</v>
      </c>
      <c r="K11" s="58" t="s">
        <v>76</v>
      </c>
      <c r="O11" s="58" t="s">
        <v>71</v>
      </c>
      <c r="R11" s="6"/>
    </row>
    <row r="12" spans="1:18" x14ac:dyDescent="0.25">
      <c r="A12" s="104">
        <v>4</v>
      </c>
      <c r="B12" s="58" t="s">
        <v>70</v>
      </c>
      <c r="I12" s="5"/>
      <c r="J12" s="5"/>
      <c r="K12" s="58" t="s">
        <v>77</v>
      </c>
      <c r="O12" s="58" t="s">
        <v>72</v>
      </c>
      <c r="R12" s="6"/>
    </row>
    <row r="13" spans="1:18" ht="24.75" customHeight="1" x14ac:dyDescent="0.25">
      <c r="A13" s="104" t="s">
        <v>13</v>
      </c>
      <c r="B13" s="5" t="s">
        <v>14</v>
      </c>
      <c r="I13" s="5"/>
      <c r="J13" s="5" t="s">
        <v>8</v>
      </c>
      <c r="K13" s="58"/>
      <c r="O13" s="96"/>
      <c r="P13" s="97"/>
      <c r="Q13" s="97"/>
      <c r="R13" s="98"/>
    </row>
    <row r="14" spans="1:18" x14ac:dyDescent="0.25">
      <c r="A14" s="104" t="s">
        <v>15</v>
      </c>
      <c r="B14" s="5" t="s">
        <v>16</v>
      </c>
      <c r="I14" s="5"/>
      <c r="J14" s="5" t="s">
        <v>8</v>
      </c>
      <c r="K14">
        <v>2026</v>
      </c>
      <c r="R14" s="6"/>
    </row>
    <row r="15" spans="1:18" x14ac:dyDescent="0.25">
      <c r="A15" s="104" t="s">
        <v>17</v>
      </c>
      <c r="B15" s="5" t="s">
        <v>18</v>
      </c>
      <c r="I15" s="5"/>
      <c r="J15" s="5" t="s">
        <v>8</v>
      </c>
      <c r="K15" s="99">
        <f>Q24</f>
        <v>12477000</v>
      </c>
      <c r="L15" s="99"/>
      <c r="M15" s="99"/>
      <c r="R15" s="6"/>
    </row>
    <row r="16" spans="1:18" ht="13" thickBot="1" x14ac:dyDescent="0.3">
      <c r="A16" s="10"/>
      <c r="B16" s="58" t="str">
        <f>A31</f>
        <v>Dua Belas Juta Empat Ratus Tujuh Puluh Tujuh Ribu Rupiah</v>
      </c>
      <c r="R16" s="6"/>
    </row>
    <row r="17" spans="1:21" ht="13" thickBot="1" x14ac:dyDescent="0.3">
      <c r="A17" s="100" t="s">
        <v>19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2"/>
    </row>
    <row r="18" spans="1:21" ht="37.5" x14ac:dyDescent="0.25">
      <c r="A18" s="11" t="s">
        <v>20</v>
      </c>
      <c r="B18" s="84" t="s">
        <v>21</v>
      </c>
      <c r="C18" s="85"/>
      <c r="D18" s="85"/>
      <c r="E18" s="85"/>
      <c r="F18" s="85"/>
      <c r="G18" s="85"/>
      <c r="H18" s="86"/>
      <c r="I18" s="87" t="s">
        <v>22</v>
      </c>
      <c r="J18" s="87"/>
      <c r="K18" s="87"/>
      <c r="L18" s="87"/>
      <c r="M18" s="87"/>
      <c r="N18" s="87"/>
      <c r="O18" s="12" t="s">
        <v>23</v>
      </c>
      <c r="P18" s="67" t="s">
        <v>24</v>
      </c>
      <c r="Q18" s="12" t="s">
        <v>25</v>
      </c>
      <c r="R18" s="13" t="s">
        <v>26</v>
      </c>
    </row>
    <row r="19" spans="1:21" ht="24.75" customHeight="1" x14ac:dyDescent="0.25">
      <c r="A19" s="105">
        <v>1</v>
      </c>
      <c r="B19" s="15"/>
      <c r="C19" s="70" t="s">
        <v>73</v>
      </c>
      <c r="D19" s="68"/>
      <c r="E19" s="69"/>
      <c r="F19" s="69"/>
      <c r="G19" s="69"/>
      <c r="H19" s="18"/>
      <c r="I19" s="88" t="s">
        <v>72</v>
      </c>
      <c r="J19" s="89"/>
      <c r="K19" s="89"/>
      <c r="L19" s="89"/>
      <c r="M19" s="89"/>
      <c r="N19" s="90"/>
      <c r="O19" s="20">
        <v>225160269</v>
      </c>
      <c r="P19" s="21">
        <v>30892753</v>
      </c>
      <c r="Q19" s="20">
        <v>12477000</v>
      </c>
      <c r="R19" s="22">
        <f>O19-P19-Q19</f>
        <v>181790516</v>
      </c>
    </row>
    <row r="20" spans="1:21" ht="33.75" customHeight="1" x14ac:dyDescent="0.25">
      <c r="A20" s="105"/>
      <c r="B20" s="15"/>
      <c r="C20" s="70"/>
      <c r="D20" s="68"/>
      <c r="E20" s="69"/>
      <c r="F20" s="69"/>
      <c r="G20" s="69"/>
      <c r="H20" s="18"/>
      <c r="I20" s="88"/>
      <c r="J20" s="89"/>
      <c r="K20" s="89"/>
      <c r="L20" s="89"/>
      <c r="M20" s="89"/>
      <c r="N20" s="90"/>
      <c r="O20" s="20"/>
      <c r="P20" s="21"/>
      <c r="Q20" s="20"/>
      <c r="R20" s="22"/>
    </row>
    <row r="21" spans="1:21" x14ac:dyDescent="0.25">
      <c r="A21" s="105"/>
      <c r="B21" s="15"/>
      <c r="C21" s="70"/>
      <c r="D21" s="68"/>
      <c r="E21" s="69"/>
      <c r="F21" s="69"/>
      <c r="G21" s="69"/>
      <c r="H21" s="18"/>
      <c r="I21" s="88"/>
      <c r="J21" s="89"/>
      <c r="K21" s="89"/>
      <c r="L21" s="89"/>
      <c r="M21" s="89"/>
      <c r="N21" s="90"/>
      <c r="O21" s="20"/>
      <c r="P21" s="21"/>
      <c r="Q21" s="20"/>
      <c r="R21" s="22"/>
    </row>
    <row r="22" spans="1:21" x14ac:dyDescent="0.25">
      <c r="A22" s="106"/>
      <c r="B22" s="25"/>
      <c r="C22" s="70"/>
      <c r="D22" s="68"/>
      <c r="E22" s="69"/>
      <c r="F22" s="69"/>
      <c r="G22" s="69"/>
      <c r="H22" s="18"/>
      <c r="I22" s="59"/>
      <c r="J22" s="16"/>
      <c r="K22" s="16"/>
      <c r="L22" s="16"/>
      <c r="M22" s="16"/>
      <c r="N22" s="16"/>
      <c r="O22" s="20"/>
      <c r="P22" s="21"/>
      <c r="Q22" s="20"/>
      <c r="R22" s="22"/>
    </row>
    <row r="23" spans="1:21" ht="13" thickBot="1" x14ac:dyDescent="0.3">
      <c r="A23" s="107"/>
      <c r="B23" s="32"/>
      <c r="C23" s="70"/>
      <c r="D23" s="33"/>
      <c r="E23" s="33"/>
      <c r="F23" s="33"/>
      <c r="G23" s="33"/>
      <c r="H23" s="34"/>
      <c r="I23" s="73"/>
      <c r="J23" s="35"/>
      <c r="K23" s="35"/>
      <c r="L23" s="35"/>
      <c r="M23" s="35"/>
      <c r="N23" s="35"/>
      <c r="O23" s="36"/>
      <c r="P23" s="35"/>
      <c r="Q23" s="36"/>
      <c r="R23" s="37"/>
    </row>
    <row r="24" spans="1:21" ht="13.5" thickBot="1" x14ac:dyDescent="0.35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40" t="s">
        <v>27</v>
      </c>
      <c r="N24" s="39"/>
      <c r="O24" s="41">
        <f>SUM(O19:O23)</f>
        <v>225160269</v>
      </c>
      <c r="P24" s="41">
        <f>SUM(P19:P22)</f>
        <v>30892753</v>
      </c>
      <c r="Q24" s="41">
        <f>SUM(Q19:Q23)</f>
        <v>12477000</v>
      </c>
      <c r="R24" s="109">
        <f>SUM(R19:R23)</f>
        <v>181790516</v>
      </c>
      <c r="U24" s="42"/>
    </row>
    <row r="25" spans="1:21" x14ac:dyDescent="0.25">
      <c r="A25" s="91" t="s">
        <v>28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3"/>
    </row>
    <row r="26" spans="1:21" x14ac:dyDescent="0.25">
      <c r="A26" s="14" t="s">
        <v>29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43" t="s">
        <v>30</v>
      </c>
      <c r="R26" s="44">
        <v>0</v>
      </c>
    </row>
    <row r="27" spans="1:21" ht="13" thickBot="1" x14ac:dyDescent="0.3">
      <c r="A27" s="45" t="s">
        <v>31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46" t="s">
        <v>30</v>
      </c>
      <c r="R27" s="47">
        <v>0</v>
      </c>
    </row>
    <row r="28" spans="1:21" x14ac:dyDescent="0.25">
      <c r="A28" s="48" t="s">
        <v>32</v>
      </c>
      <c r="B28" s="49"/>
      <c r="C28" s="49"/>
      <c r="D28" s="49"/>
      <c r="E28" s="49"/>
      <c r="F28" s="49"/>
      <c r="G28" s="49"/>
      <c r="H28" s="49" t="s">
        <v>33</v>
      </c>
      <c r="I28" s="49"/>
      <c r="J28" s="49"/>
      <c r="K28" s="49"/>
      <c r="L28" s="78">
        <f>Q24</f>
        <v>12477000</v>
      </c>
      <c r="M28" s="79"/>
      <c r="N28" s="79"/>
      <c r="O28" s="49"/>
      <c r="P28" s="49"/>
      <c r="Q28" s="49"/>
      <c r="R28" s="50"/>
    </row>
    <row r="29" spans="1:21" x14ac:dyDescent="0.25">
      <c r="A29" s="51" t="s">
        <v>28</v>
      </c>
      <c r="H29" t="s">
        <v>33</v>
      </c>
      <c r="M29" s="80">
        <v>0</v>
      </c>
      <c r="N29" s="80"/>
      <c r="R29" s="6"/>
    </row>
    <row r="30" spans="1:21" x14ac:dyDescent="0.25">
      <c r="A30" s="51" t="s">
        <v>34</v>
      </c>
      <c r="H30" t="s">
        <v>33</v>
      </c>
      <c r="L30" s="81">
        <f>L28</f>
        <v>12477000</v>
      </c>
      <c r="M30" s="82"/>
      <c r="N30" s="82"/>
      <c r="R30" s="6"/>
    </row>
    <row r="31" spans="1:21" ht="13.5" thickBot="1" x14ac:dyDescent="0.35">
      <c r="A31" s="52" t="s">
        <v>74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9"/>
    </row>
    <row r="32" spans="1:21" x14ac:dyDescent="0.25">
      <c r="A32" s="48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50"/>
    </row>
    <row r="33" spans="1:18" x14ac:dyDescent="0.25">
      <c r="A33" s="51"/>
      <c r="R33" s="6"/>
    </row>
    <row r="34" spans="1:18" x14ac:dyDescent="0.25">
      <c r="A34" s="51"/>
      <c r="N34" s="72"/>
      <c r="O34" s="108"/>
      <c r="P34" s="58" t="s">
        <v>78</v>
      </c>
      <c r="R34" s="6"/>
    </row>
    <row r="35" spans="1:18" x14ac:dyDescent="0.25">
      <c r="A35" s="51"/>
      <c r="B35" s="77" t="s">
        <v>36</v>
      </c>
      <c r="C35" s="77"/>
      <c r="D35" s="77"/>
      <c r="E35" s="77"/>
      <c r="F35" s="77"/>
      <c r="G35" s="77"/>
      <c r="H35" s="77"/>
      <c r="I35" s="77"/>
      <c r="R35" s="6"/>
    </row>
    <row r="36" spans="1:18" x14ac:dyDescent="0.25">
      <c r="A36" s="83" t="s">
        <v>38</v>
      </c>
      <c r="B36" s="77"/>
      <c r="C36" s="77"/>
      <c r="D36" s="77"/>
      <c r="E36" s="77"/>
      <c r="F36" s="77"/>
      <c r="G36" s="77"/>
      <c r="H36" s="77"/>
      <c r="I36" s="77"/>
      <c r="J36" s="77"/>
      <c r="O36" s="64"/>
      <c r="P36" s="110" t="s">
        <v>7</v>
      </c>
      <c r="Q36" s="110"/>
      <c r="R36" s="6"/>
    </row>
    <row r="37" spans="1:18" x14ac:dyDescent="0.25">
      <c r="A37" s="51"/>
      <c r="R37" s="6"/>
    </row>
    <row r="38" spans="1:18" x14ac:dyDescent="0.25">
      <c r="A38" s="51"/>
      <c r="R38" s="6"/>
    </row>
    <row r="39" spans="1:18" x14ac:dyDescent="0.25">
      <c r="A39" s="51"/>
      <c r="R39" s="6"/>
    </row>
    <row r="40" spans="1:18" x14ac:dyDescent="0.25">
      <c r="A40" s="51"/>
      <c r="R40" s="6"/>
    </row>
    <row r="41" spans="1:18" ht="13" x14ac:dyDescent="0.3">
      <c r="A41" s="74" t="s">
        <v>55</v>
      </c>
      <c r="B41" s="75"/>
      <c r="C41" s="75"/>
      <c r="D41" s="75"/>
      <c r="E41" s="75"/>
      <c r="F41" s="75"/>
      <c r="G41" s="75"/>
      <c r="H41" s="75"/>
      <c r="I41" s="75"/>
      <c r="J41" s="75"/>
      <c r="O41" s="111"/>
      <c r="P41" s="111" t="str">
        <f>K9</f>
        <v>SAMPURISIAH, SE.,M.Si</v>
      </c>
      <c r="Q41" s="111"/>
      <c r="R41" s="6"/>
    </row>
    <row r="42" spans="1:18" x14ac:dyDescent="0.25">
      <c r="A42" s="51"/>
      <c r="B42" s="76" t="s">
        <v>56</v>
      </c>
      <c r="C42" s="77"/>
      <c r="D42" s="77"/>
      <c r="E42" s="77"/>
      <c r="F42" s="77"/>
      <c r="G42" s="77"/>
      <c r="H42" s="77"/>
      <c r="I42" s="77"/>
      <c r="O42" s="64"/>
      <c r="P42" s="110" t="s">
        <v>54</v>
      </c>
      <c r="Q42" s="110"/>
      <c r="R42" s="6"/>
    </row>
    <row r="43" spans="1:18" ht="13" thickBot="1" x14ac:dyDescent="0.3">
      <c r="A43" s="54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6"/>
    </row>
    <row r="44" spans="1:18" ht="13" thickTop="1" x14ac:dyDescent="0.25"/>
  </sheetData>
  <mergeCells count="19">
    <mergeCell ref="A41:J41"/>
    <mergeCell ref="B42:I42"/>
    <mergeCell ref="L28:N28"/>
    <mergeCell ref="M29:N29"/>
    <mergeCell ref="L30:N30"/>
    <mergeCell ref="B35:I35"/>
    <mergeCell ref="A36:J36"/>
    <mergeCell ref="B18:H18"/>
    <mergeCell ref="I18:N18"/>
    <mergeCell ref="I19:N19"/>
    <mergeCell ref="I20:N20"/>
    <mergeCell ref="I21:N21"/>
    <mergeCell ref="A25:R25"/>
    <mergeCell ref="A1:R1"/>
    <mergeCell ref="A2:R2"/>
    <mergeCell ref="A3:R3"/>
    <mergeCell ref="O13:R13"/>
    <mergeCell ref="K15:M15"/>
    <mergeCell ref="A17:R17"/>
  </mergeCells>
  <printOptions horizontalCentered="1"/>
  <pageMargins left="0.25" right="0.05" top="1" bottom="1" header="0.5" footer="0.5"/>
  <pageSetup paperSize="5" scale="82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view="pageBreakPreview" topLeftCell="A20" zoomScaleSheetLayoutView="100" workbookViewId="0">
      <selection activeCell="L36" sqref="L36"/>
    </sheetView>
  </sheetViews>
  <sheetFormatPr defaultRowHeight="12.5" x14ac:dyDescent="0.25"/>
  <cols>
    <col min="1" max="1" width="3.81640625" customWidth="1"/>
    <col min="2" max="2" width="3.54296875" customWidth="1"/>
    <col min="3" max="7" width="3.7265625" customWidth="1"/>
    <col min="8" max="8" width="1.1796875" customWidth="1"/>
    <col min="9" max="9" width="3.7265625" customWidth="1"/>
    <col min="10" max="13" width="6.81640625" customWidth="1"/>
    <col min="14" max="14" width="4.54296875" customWidth="1"/>
    <col min="15" max="15" width="15.1796875" customWidth="1"/>
    <col min="16" max="16" width="12" customWidth="1"/>
    <col min="17" max="17" width="14.7265625" customWidth="1"/>
    <col min="18" max="18" width="15.1796875" customWidth="1"/>
    <col min="21" max="21" width="15" bestFit="1" customWidth="1"/>
    <col min="257" max="257" width="4.26953125" customWidth="1"/>
    <col min="258" max="258" width="3.54296875" customWidth="1"/>
    <col min="259" max="263" width="3.7265625" customWidth="1"/>
    <col min="264" max="264" width="3.1796875" customWidth="1"/>
    <col min="265" max="265" width="3.7265625" customWidth="1"/>
    <col min="266" max="269" width="6.81640625" customWidth="1"/>
    <col min="270" max="270" width="4.453125" customWidth="1"/>
    <col min="271" max="271" width="15.1796875" customWidth="1"/>
    <col min="272" max="272" width="15" bestFit="1" customWidth="1"/>
    <col min="273" max="273" width="14.7265625" customWidth="1"/>
    <col min="274" max="274" width="15" bestFit="1" customWidth="1"/>
    <col min="277" max="277" width="15" bestFit="1" customWidth="1"/>
    <col min="513" max="513" width="4.26953125" customWidth="1"/>
    <col min="514" max="514" width="3.54296875" customWidth="1"/>
    <col min="515" max="519" width="3.7265625" customWidth="1"/>
    <col min="520" max="520" width="3.1796875" customWidth="1"/>
    <col min="521" max="521" width="3.7265625" customWidth="1"/>
    <col min="522" max="525" width="6.81640625" customWidth="1"/>
    <col min="526" max="526" width="4.453125" customWidth="1"/>
    <col min="527" max="527" width="15.1796875" customWidth="1"/>
    <col min="528" max="528" width="15" bestFit="1" customWidth="1"/>
    <col min="529" max="529" width="14.7265625" customWidth="1"/>
    <col min="530" max="530" width="15" bestFit="1" customWidth="1"/>
    <col min="533" max="533" width="15" bestFit="1" customWidth="1"/>
    <col min="769" max="769" width="4.26953125" customWidth="1"/>
    <col min="770" max="770" width="3.54296875" customWidth="1"/>
    <col min="771" max="775" width="3.7265625" customWidth="1"/>
    <col min="776" max="776" width="3.1796875" customWidth="1"/>
    <col min="777" max="777" width="3.7265625" customWidth="1"/>
    <col min="778" max="781" width="6.81640625" customWidth="1"/>
    <col min="782" max="782" width="4.453125" customWidth="1"/>
    <col min="783" max="783" width="15.1796875" customWidth="1"/>
    <col min="784" max="784" width="15" bestFit="1" customWidth="1"/>
    <col min="785" max="785" width="14.7265625" customWidth="1"/>
    <col min="786" max="786" width="15" bestFit="1" customWidth="1"/>
    <col min="789" max="789" width="15" bestFit="1" customWidth="1"/>
    <col min="1025" max="1025" width="4.26953125" customWidth="1"/>
    <col min="1026" max="1026" width="3.54296875" customWidth="1"/>
    <col min="1027" max="1031" width="3.7265625" customWidth="1"/>
    <col min="1032" max="1032" width="3.1796875" customWidth="1"/>
    <col min="1033" max="1033" width="3.7265625" customWidth="1"/>
    <col min="1034" max="1037" width="6.81640625" customWidth="1"/>
    <col min="1038" max="1038" width="4.453125" customWidth="1"/>
    <col min="1039" max="1039" width="15.1796875" customWidth="1"/>
    <col min="1040" max="1040" width="15" bestFit="1" customWidth="1"/>
    <col min="1041" max="1041" width="14.7265625" customWidth="1"/>
    <col min="1042" max="1042" width="15" bestFit="1" customWidth="1"/>
    <col min="1045" max="1045" width="15" bestFit="1" customWidth="1"/>
    <col min="1281" max="1281" width="4.26953125" customWidth="1"/>
    <col min="1282" max="1282" width="3.54296875" customWidth="1"/>
    <col min="1283" max="1287" width="3.7265625" customWidth="1"/>
    <col min="1288" max="1288" width="3.1796875" customWidth="1"/>
    <col min="1289" max="1289" width="3.7265625" customWidth="1"/>
    <col min="1290" max="1293" width="6.81640625" customWidth="1"/>
    <col min="1294" max="1294" width="4.453125" customWidth="1"/>
    <col min="1295" max="1295" width="15.1796875" customWidth="1"/>
    <col min="1296" max="1296" width="15" bestFit="1" customWidth="1"/>
    <col min="1297" max="1297" width="14.7265625" customWidth="1"/>
    <col min="1298" max="1298" width="15" bestFit="1" customWidth="1"/>
    <col min="1301" max="1301" width="15" bestFit="1" customWidth="1"/>
    <col min="1537" max="1537" width="4.26953125" customWidth="1"/>
    <col min="1538" max="1538" width="3.54296875" customWidth="1"/>
    <col min="1539" max="1543" width="3.7265625" customWidth="1"/>
    <col min="1544" max="1544" width="3.1796875" customWidth="1"/>
    <col min="1545" max="1545" width="3.7265625" customWidth="1"/>
    <col min="1546" max="1549" width="6.81640625" customWidth="1"/>
    <col min="1550" max="1550" width="4.453125" customWidth="1"/>
    <col min="1551" max="1551" width="15.1796875" customWidth="1"/>
    <col min="1552" max="1552" width="15" bestFit="1" customWidth="1"/>
    <col min="1553" max="1553" width="14.7265625" customWidth="1"/>
    <col min="1554" max="1554" width="15" bestFit="1" customWidth="1"/>
    <col min="1557" max="1557" width="15" bestFit="1" customWidth="1"/>
    <col min="1793" max="1793" width="4.26953125" customWidth="1"/>
    <col min="1794" max="1794" width="3.54296875" customWidth="1"/>
    <col min="1795" max="1799" width="3.7265625" customWidth="1"/>
    <col min="1800" max="1800" width="3.1796875" customWidth="1"/>
    <col min="1801" max="1801" width="3.7265625" customWidth="1"/>
    <col min="1802" max="1805" width="6.81640625" customWidth="1"/>
    <col min="1806" max="1806" width="4.453125" customWidth="1"/>
    <col min="1807" max="1807" width="15.1796875" customWidth="1"/>
    <col min="1808" max="1808" width="15" bestFit="1" customWidth="1"/>
    <col min="1809" max="1809" width="14.7265625" customWidth="1"/>
    <col min="1810" max="1810" width="15" bestFit="1" customWidth="1"/>
    <col min="1813" max="1813" width="15" bestFit="1" customWidth="1"/>
    <col min="2049" max="2049" width="4.26953125" customWidth="1"/>
    <col min="2050" max="2050" width="3.54296875" customWidth="1"/>
    <col min="2051" max="2055" width="3.7265625" customWidth="1"/>
    <col min="2056" max="2056" width="3.1796875" customWidth="1"/>
    <col min="2057" max="2057" width="3.7265625" customWidth="1"/>
    <col min="2058" max="2061" width="6.81640625" customWidth="1"/>
    <col min="2062" max="2062" width="4.453125" customWidth="1"/>
    <col min="2063" max="2063" width="15.1796875" customWidth="1"/>
    <col min="2064" max="2064" width="15" bestFit="1" customWidth="1"/>
    <col min="2065" max="2065" width="14.7265625" customWidth="1"/>
    <col min="2066" max="2066" width="15" bestFit="1" customWidth="1"/>
    <col min="2069" max="2069" width="15" bestFit="1" customWidth="1"/>
    <col min="2305" max="2305" width="4.26953125" customWidth="1"/>
    <col min="2306" max="2306" width="3.54296875" customWidth="1"/>
    <col min="2307" max="2311" width="3.7265625" customWidth="1"/>
    <col min="2312" max="2312" width="3.1796875" customWidth="1"/>
    <col min="2313" max="2313" width="3.7265625" customWidth="1"/>
    <col min="2314" max="2317" width="6.81640625" customWidth="1"/>
    <col min="2318" max="2318" width="4.453125" customWidth="1"/>
    <col min="2319" max="2319" width="15.1796875" customWidth="1"/>
    <col min="2320" max="2320" width="15" bestFit="1" customWidth="1"/>
    <col min="2321" max="2321" width="14.7265625" customWidth="1"/>
    <col min="2322" max="2322" width="15" bestFit="1" customWidth="1"/>
    <col min="2325" max="2325" width="15" bestFit="1" customWidth="1"/>
    <col min="2561" max="2561" width="4.26953125" customWidth="1"/>
    <col min="2562" max="2562" width="3.54296875" customWidth="1"/>
    <col min="2563" max="2567" width="3.7265625" customWidth="1"/>
    <col min="2568" max="2568" width="3.1796875" customWidth="1"/>
    <col min="2569" max="2569" width="3.7265625" customWidth="1"/>
    <col min="2570" max="2573" width="6.81640625" customWidth="1"/>
    <col min="2574" max="2574" width="4.453125" customWidth="1"/>
    <col min="2575" max="2575" width="15.1796875" customWidth="1"/>
    <col min="2576" max="2576" width="15" bestFit="1" customWidth="1"/>
    <col min="2577" max="2577" width="14.7265625" customWidth="1"/>
    <col min="2578" max="2578" width="15" bestFit="1" customWidth="1"/>
    <col min="2581" max="2581" width="15" bestFit="1" customWidth="1"/>
    <col min="2817" max="2817" width="4.26953125" customWidth="1"/>
    <col min="2818" max="2818" width="3.54296875" customWidth="1"/>
    <col min="2819" max="2823" width="3.7265625" customWidth="1"/>
    <col min="2824" max="2824" width="3.1796875" customWidth="1"/>
    <col min="2825" max="2825" width="3.7265625" customWidth="1"/>
    <col min="2826" max="2829" width="6.81640625" customWidth="1"/>
    <col min="2830" max="2830" width="4.453125" customWidth="1"/>
    <col min="2831" max="2831" width="15.1796875" customWidth="1"/>
    <col min="2832" max="2832" width="15" bestFit="1" customWidth="1"/>
    <col min="2833" max="2833" width="14.7265625" customWidth="1"/>
    <col min="2834" max="2834" width="15" bestFit="1" customWidth="1"/>
    <col min="2837" max="2837" width="15" bestFit="1" customWidth="1"/>
    <col min="3073" max="3073" width="4.26953125" customWidth="1"/>
    <col min="3074" max="3074" width="3.54296875" customWidth="1"/>
    <col min="3075" max="3079" width="3.7265625" customWidth="1"/>
    <col min="3080" max="3080" width="3.1796875" customWidth="1"/>
    <col min="3081" max="3081" width="3.7265625" customWidth="1"/>
    <col min="3082" max="3085" width="6.81640625" customWidth="1"/>
    <col min="3086" max="3086" width="4.453125" customWidth="1"/>
    <col min="3087" max="3087" width="15.1796875" customWidth="1"/>
    <col min="3088" max="3088" width="15" bestFit="1" customWidth="1"/>
    <col min="3089" max="3089" width="14.7265625" customWidth="1"/>
    <col min="3090" max="3090" width="15" bestFit="1" customWidth="1"/>
    <col min="3093" max="3093" width="15" bestFit="1" customWidth="1"/>
    <col min="3329" max="3329" width="4.26953125" customWidth="1"/>
    <col min="3330" max="3330" width="3.54296875" customWidth="1"/>
    <col min="3331" max="3335" width="3.7265625" customWidth="1"/>
    <col min="3336" max="3336" width="3.1796875" customWidth="1"/>
    <col min="3337" max="3337" width="3.7265625" customWidth="1"/>
    <col min="3338" max="3341" width="6.81640625" customWidth="1"/>
    <col min="3342" max="3342" width="4.453125" customWidth="1"/>
    <col min="3343" max="3343" width="15.1796875" customWidth="1"/>
    <col min="3344" max="3344" width="15" bestFit="1" customWidth="1"/>
    <col min="3345" max="3345" width="14.7265625" customWidth="1"/>
    <col min="3346" max="3346" width="15" bestFit="1" customWidth="1"/>
    <col min="3349" max="3349" width="15" bestFit="1" customWidth="1"/>
    <col min="3585" max="3585" width="4.26953125" customWidth="1"/>
    <col min="3586" max="3586" width="3.54296875" customWidth="1"/>
    <col min="3587" max="3591" width="3.7265625" customWidth="1"/>
    <col min="3592" max="3592" width="3.1796875" customWidth="1"/>
    <col min="3593" max="3593" width="3.7265625" customWidth="1"/>
    <col min="3594" max="3597" width="6.81640625" customWidth="1"/>
    <col min="3598" max="3598" width="4.453125" customWidth="1"/>
    <col min="3599" max="3599" width="15.1796875" customWidth="1"/>
    <col min="3600" max="3600" width="15" bestFit="1" customWidth="1"/>
    <col min="3601" max="3601" width="14.7265625" customWidth="1"/>
    <col min="3602" max="3602" width="15" bestFit="1" customWidth="1"/>
    <col min="3605" max="3605" width="15" bestFit="1" customWidth="1"/>
    <col min="3841" max="3841" width="4.26953125" customWidth="1"/>
    <col min="3842" max="3842" width="3.54296875" customWidth="1"/>
    <col min="3843" max="3847" width="3.7265625" customWidth="1"/>
    <col min="3848" max="3848" width="3.1796875" customWidth="1"/>
    <col min="3849" max="3849" width="3.7265625" customWidth="1"/>
    <col min="3850" max="3853" width="6.81640625" customWidth="1"/>
    <col min="3854" max="3854" width="4.453125" customWidth="1"/>
    <col min="3855" max="3855" width="15.1796875" customWidth="1"/>
    <col min="3856" max="3856" width="15" bestFit="1" customWidth="1"/>
    <col min="3857" max="3857" width="14.7265625" customWidth="1"/>
    <col min="3858" max="3858" width="15" bestFit="1" customWidth="1"/>
    <col min="3861" max="3861" width="15" bestFit="1" customWidth="1"/>
    <col min="4097" max="4097" width="4.26953125" customWidth="1"/>
    <col min="4098" max="4098" width="3.54296875" customWidth="1"/>
    <col min="4099" max="4103" width="3.7265625" customWidth="1"/>
    <col min="4104" max="4104" width="3.1796875" customWidth="1"/>
    <col min="4105" max="4105" width="3.7265625" customWidth="1"/>
    <col min="4106" max="4109" width="6.81640625" customWidth="1"/>
    <col min="4110" max="4110" width="4.453125" customWidth="1"/>
    <col min="4111" max="4111" width="15.1796875" customWidth="1"/>
    <col min="4112" max="4112" width="15" bestFit="1" customWidth="1"/>
    <col min="4113" max="4113" width="14.7265625" customWidth="1"/>
    <col min="4114" max="4114" width="15" bestFit="1" customWidth="1"/>
    <col min="4117" max="4117" width="15" bestFit="1" customWidth="1"/>
    <col min="4353" max="4353" width="4.26953125" customWidth="1"/>
    <col min="4354" max="4354" width="3.54296875" customWidth="1"/>
    <col min="4355" max="4359" width="3.7265625" customWidth="1"/>
    <col min="4360" max="4360" width="3.1796875" customWidth="1"/>
    <col min="4361" max="4361" width="3.7265625" customWidth="1"/>
    <col min="4362" max="4365" width="6.81640625" customWidth="1"/>
    <col min="4366" max="4366" width="4.453125" customWidth="1"/>
    <col min="4367" max="4367" width="15.1796875" customWidth="1"/>
    <col min="4368" max="4368" width="15" bestFit="1" customWidth="1"/>
    <col min="4369" max="4369" width="14.7265625" customWidth="1"/>
    <col min="4370" max="4370" width="15" bestFit="1" customWidth="1"/>
    <col min="4373" max="4373" width="15" bestFit="1" customWidth="1"/>
    <col min="4609" max="4609" width="4.26953125" customWidth="1"/>
    <col min="4610" max="4610" width="3.54296875" customWidth="1"/>
    <col min="4611" max="4615" width="3.7265625" customWidth="1"/>
    <col min="4616" max="4616" width="3.1796875" customWidth="1"/>
    <col min="4617" max="4617" width="3.7265625" customWidth="1"/>
    <col min="4618" max="4621" width="6.81640625" customWidth="1"/>
    <col min="4622" max="4622" width="4.453125" customWidth="1"/>
    <col min="4623" max="4623" width="15.1796875" customWidth="1"/>
    <col min="4624" max="4624" width="15" bestFit="1" customWidth="1"/>
    <col min="4625" max="4625" width="14.7265625" customWidth="1"/>
    <col min="4626" max="4626" width="15" bestFit="1" customWidth="1"/>
    <col min="4629" max="4629" width="15" bestFit="1" customWidth="1"/>
    <col min="4865" max="4865" width="4.26953125" customWidth="1"/>
    <col min="4866" max="4866" width="3.54296875" customWidth="1"/>
    <col min="4867" max="4871" width="3.7265625" customWidth="1"/>
    <col min="4872" max="4872" width="3.1796875" customWidth="1"/>
    <col min="4873" max="4873" width="3.7265625" customWidth="1"/>
    <col min="4874" max="4877" width="6.81640625" customWidth="1"/>
    <col min="4878" max="4878" width="4.453125" customWidth="1"/>
    <col min="4879" max="4879" width="15.1796875" customWidth="1"/>
    <col min="4880" max="4880" width="15" bestFit="1" customWidth="1"/>
    <col min="4881" max="4881" width="14.7265625" customWidth="1"/>
    <col min="4882" max="4882" width="15" bestFit="1" customWidth="1"/>
    <col min="4885" max="4885" width="15" bestFit="1" customWidth="1"/>
    <col min="5121" max="5121" width="4.26953125" customWidth="1"/>
    <col min="5122" max="5122" width="3.54296875" customWidth="1"/>
    <col min="5123" max="5127" width="3.7265625" customWidth="1"/>
    <col min="5128" max="5128" width="3.1796875" customWidth="1"/>
    <col min="5129" max="5129" width="3.7265625" customWidth="1"/>
    <col min="5130" max="5133" width="6.81640625" customWidth="1"/>
    <col min="5134" max="5134" width="4.453125" customWidth="1"/>
    <col min="5135" max="5135" width="15.1796875" customWidth="1"/>
    <col min="5136" max="5136" width="15" bestFit="1" customWidth="1"/>
    <col min="5137" max="5137" width="14.7265625" customWidth="1"/>
    <col min="5138" max="5138" width="15" bestFit="1" customWidth="1"/>
    <col min="5141" max="5141" width="15" bestFit="1" customWidth="1"/>
    <col min="5377" max="5377" width="4.26953125" customWidth="1"/>
    <col min="5378" max="5378" width="3.54296875" customWidth="1"/>
    <col min="5379" max="5383" width="3.7265625" customWidth="1"/>
    <col min="5384" max="5384" width="3.1796875" customWidth="1"/>
    <col min="5385" max="5385" width="3.7265625" customWidth="1"/>
    <col min="5386" max="5389" width="6.81640625" customWidth="1"/>
    <col min="5390" max="5390" width="4.453125" customWidth="1"/>
    <col min="5391" max="5391" width="15.1796875" customWidth="1"/>
    <col min="5392" max="5392" width="15" bestFit="1" customWidth="1"/>
    <col min="5393" max="5393" width="14.7265625" customWidth="1"/>
    <col min="5394" max="5394" width="15" bestFit="1" customWidth="1"/>
    <col min="5397" max="5397" width="15" bestFit="1" customWidth="1"/>
    <col min="5633" max="5633" width="4.26953125" customWidth="1"/>
    <col min="5634" max="5634" width="3.54296875" customWidth="1"/>
    <col min="5635" max="5639" width="3.7265625" customWidth="1"/>
    <col min="5640" max="5640" width="3.1796875" customWidth="1"/>
    <col min="5641" max="5641" width="3.7265625" customWidth="1"/>
    <col min="5642" max="5645" width="6.81640625" customWidth="1"/>
    <col min="5646" max="5646" width="4.453125" customWidth="1"/>
    <col min="5647" max="5647" width="15.1796875" customWidth="1"/>
    <col min="5648" max="5648" width="15" bestFit="1" customWidth="1"/>
    <col min="5649" max="5649" width="14.7265625" customWidth="1"/>
    <col min="5650" max="5650" width="15" bestFit="1" customWidth="1"/>
    <col min="5653" max="5653" width="15" bestFit="1" customWidth="1"/>
    <col min="5889" max="5889" width="4.26953125" customWidth="1"/>
    <col min="5890" max="5890" width="3.54296875" customWidth="1"/>
    <col min="5891" max="5895" width="3.7265625" customWidth="1"/>
    <col min="5896" max="5896" width="3.1796875" customWidth="1"/>
    <col min="5897" max="5897" width="3.7265625" customWidth="1"/>
    <col min="5898" max="5901" width="6.81640625" customWidth="1"/>
    <col min="5902" max="5902" width="4.453125" customWidth="1"/>
    <col min="5903" max="5903" width="15.1796875" customWidth="1"/>
    <col min="5904" max="5904" width="15" bestFit="1" customWidth="1"/>
    <col min="5905" max="5905" width="14.7265625" customWidth="1"/>
    <col min="5906" max="5906" width="15" bestFit="1" customWidth="1"/>
    <col min="5909" max="5909" width="15" bestFit="1" customWidth="1"/>
    <col min="6145" max="6145" width="4.26953125" customWidth="1"/>
    <col min="6146" max="6146" width="3.54296875" customWidth="1"/>
    <col min="6147" max="6151" width="3.7265625" customWidth="1"/>
    <col min="6152" max="6152" width="3.1796875" customWidth="1"/>
    <col min="6153" max="6153" width="3.7265625" customWidth="1"/>
    <col min="6154" max="6157" width="6.81640625" customWidth="1"/>
    <col min="6158" max="6158" width="4.453125" customWidth="1"/>
    <col min="6159" max="6159" width="15.1796875" customWidth="1"/>
    <col min="6160" max="6160" width="15" bestFit="1" customWidth="1"/>
    <col min="6161" max="6161" width="14.7265625" customWidth="1"/>
    <col min="6162" max="6162" width="15" bestFit="1" customWidth="1"/>
    <col min="6165" max="6165" width="15" bestFit="1" customWidth="1"/>
    <col min="6401" max="6401" width="4.26953125" customWidth="1"/>
    <col min="6402" max="6402" width="3.54296875" customWidth="1"/>
    <col min="6403" max="6407" width="3.7265625" customWidth="1"/>
    <col min="6408" max="6408" width="3.1796875" customWidth="1"/>
    <col min="6409" max="6409" width="3.7265625" customWidth="1"/>
    <col min="6410" max="6413" width="6.81640625" customWidth="1"/>
    <col min="6414" max="6414" width="4.453125" customWidth="1"/>
    <col min="6415" max="6415" width="15.1796875" customWidth="1"/>
    <col min="6416" max="6416" width="15" bestFit="1" customWidth="1"/>
    <col min="6417" max="6417" width="14.7265625" customWidth="1"/>
    <col min="6418" max="6418" width="15" bestFit="1" customWidth="1"/>
    <col min="6421" max="6421" width="15" bestFit="1" customWidth="1"/>
    <col min="6657" max="6657" width="4.26953125" customWidth="1"/>
    <col min="6658" max="6658" width="3.54296875" customWidth="1"/>
    <col min="6659" max="6663" width="3.7265625" customWidth="1"/>
    <col min="6664" max="6664" width="3.1796875" customWidth="1"/>
    <col min="6665" max="6665" width="3.7265625" customWidth="1"/>
    <col min="6666" max="6669" width="6.81640625" customWidth="1"/>
    <col min="6670" max="6670" width="4.453125" customWidth="1"/>
    <col min="6671" max="6671" width="15.1796875" customWidth="1"/>
    <col min="6672" max="6672" width="15" bestFit="1" customWidth="1"/>
    <col min="6673" max="6673" width="14.7265625" customWidth="1"/>
    <col min="6674" max="6674" width="15" bestFit="1" customWidth="1"/>
    <col min="6677" max="6677" width="15" bestFit="1" customWidth="1"/>
    <col min="6913" max="6913" width="4.26953125" customWidth="1"/>
    <col min="6914" max="6914" width="3.54296875" customWidth="1"/>
    <col min="6915" max="6919" width="3.7265625" customWidth="1"/>
    <col min="6920" max="6920" width="3.1796875" customWidth="1"/>
    <col min="6921" max="6921" width="3.7265625" customWidth="1"/>
    <col min="6922" max="6925" width="6.81640625" customWidth="1"/>
    <col min="6926" max="6926" width="4.453125" customWidth="1"/>
    <col min="6927" max="6927" width="15.1796875" customWidth="1"/>
    <col min="6928" max="6928" width="15" bestFit="1" customWidth="1"/>
    <col min="6929" max="6929" width="14.7265625" customWidth="1"/>
    <col min="6930" max="6930" width="15" bestFit="1" customWidth="1"/>
    <col min="6933" max="6933" width="15" bestFit="1" customWidth="1"/>
    <col min="7169" max="7169" width="4.26953125" customWidth="1"/>
    <col min="7170" max="7170" width="3.54296875" customWidth="1"/>
    <col min="7171" max="7175" width="3.7265625" customWidth="1"/>
    <col min="7176" max="7176" width="3.1796875" customWidth="1"/>
    <col min="7177" max="7177" width="3.7265625" customWidth="1"/>
    <col min="7178" max="7181" width="6.81640625" customWidth="1"/>
    <col min="7182" max="7182" width="4.453125" customWidth="1"/>
    <col min="7183" max="7183" width="15.1796875" customWidth="1"/>
    <col min="7184" max="7184" width="15" bestFit="1" customWidth="1"/>
    <col min="7185" max="7185" width="14.7265625" customWidth="1"/>
    <col min="7186" max="7186" width="15" bestFit="1" customWidth="1"/>
    <col min="7189" max="7189" width="15" bestFit="1" customWidth="1"/>
    <col min="7425" max="7425" width="4.26953125" customWidth="1"/>
    <col min="7426" max="7426" width="3.54296875" customWidth="1"/>
    <col min="7427" max="7431" width="3.7265625" customWidth="1"/>
    <col min="7432" max="7432" width="3.1796875" customWidth="1"/>
    <col min="7433" max="7433" width="3.7265625" customWidth="1"/>
    <col min="7434" max="7437" width="6.81640625" customWidth="1"/>
    <col min="7438" max="7438" width="4.453125" customWidth="1"/>
    <col min="7439" max="7439" width="15.1796875" customWidth="1"/>
    <col min="7440" max="7440" width="15" bestFit="1" customWidth="1"/>
    <col min="7441" max="7441" width="14.7265625" customWidth="1"/>
    <col min="7442" max="7442" width="15" bestFit="1" customWidth="1"/>
    <col min="7445" max="7445" width="15" bestFit="1" customWidth="1"/>
    <col min="7681" max="7681" width="4.26953125" customWidth="1"/>
    <col min="7682" max="7682" width="3.54296875" customWidth="1"/>
    <col min="7683" max="7687" width="3.7265625" customWidth="1"/>
    <col min="7688" max="7688" width="3.1796875" customWidth="1"/>
    <col min="7689" max="7689" width="3.7265625" customWidth="1"/>
    <col min="7690" max="7693" width="6.81640625" customWidth="1"/>
    <col min="7694" max="7694" width="4.453125" customWidth="1"/>
    <col min="7695" max="7695" width="15.1796875" customWidth="1"/>
    <col min="7696" max="7696" width="15" bestFit="1" customWidth="1"/>
    <col min="7697" max="7697" width="14.7265625" customWidth="1"/>
    <col min="7698" max="7698" width="15" bestFit="1" customWidth="1"/>
    <col min="7701" max="7701" width="15" bestFit="1" customWidth="1"/>
    <col min="7937" max="7937" width="4.26953125" customWidth="1"/>
    <col min="7938" max="7938" width="3.54296875" customWidth="1"/>
    <col min="7939" max="7943" width="3.7265625" customWidth="1"/>
    <col min="7944" max="7944" width="3.1796875" customWidth="1"/>
    <col min="7945" max="7945" width="3.7265625" customWidth="1"/>
    <col min="7946" max="7949" width="6.81640625" customWidth="1"/>
    <col min="7950" max="7950" width="4.453125" customWidth="1"/>
    <col min="7951" max="7951" width="15.1796875" customWidth="1"/>
    <col min="7952" max="7952" width="15" bestFit="1" customWidth="1"/>
    <col min="7953" max="7953" width="14.7265625" customWidth="1"/>
    <col min="7954" max="7954" width="15" bestFit="1" customWidth="1"/>
    <col min="7957" max="7957" width="15" bestFit="1" customWidth="1"/>
    <col min="8193" max="8193" width="4.26953125" customWidth="1"/>
    <col min="8194" max="8194" width="3.54296875" customWidth="1"/>
    <col min="8195" max="8199" width="3.7265625" customWidth="1"/>
    <col min="8200" max="8200" width="3.1796875" customWidth="1"/>
    <col min="8201" max="8201" width="3.7265625" customWidth="1"/>
    <col min="8202" max="8205" width="6.81640625" customWidth="1"/>
    <col min="8206" max="8206" width="4.453125" customWidth="1"/>
    <col min="8207" max="8207" width="15.1796875" customWidth="1"/>
    <col min="8208" max="8208" width="15" bestFit="1" customWidth="1"/>
    <col min="8209" max="8209" width="14.7265625" customWidth="1"/>
    <col min="8210" max="8210" width="15" bestFit="1" customWidth="1"/>
    <col min="8213" max="8213" width="15" bestFit="1" customWidth="1"/>
    <col min="8449" max="8449" width="4.26953125" customWidth="1"/>
    <col min="8450" max="8450" width="3.54296875" customWidth="1"/>
    <col min="8451" max="8455" width="3.7265625" customWidth="1"/>
    <col min="8456" max="8456" width="3.1796875" customWidth="1"/>
    <col min="8457" max="8457" width="3.7265625" customWidth="1"/>
    <col min="8458" max="8461" width="6.81640625" customWidth="1"/>
    <col min="8462" max="8462" width="4.453125" customWidth="1"/>
    <col min="8463" max="8463" width="15.1796875" customWidth="1"/>
    <col min="8464" max="8464" width="15" bestFit="1" customWidth="1"/>
    <col min="8465" max="8465" width="14.7265625" customWidth="1"/>
    <col min="8466" max="8466" width="15" bestFit="1" customWidth="1"/>
    <col min="8469" max="8469" width="15" bestFit="1" customWidth="1"/>
    <col min="8705" max="8705" width="4.26953125" customWidth="1"/>
    <col min="8706" max="8706" width="3.54296875" customWidth="1"/>
    <col min="8707" max="8711" width="3.7265625" customWidth="1"/>
    <col min="8712" max="8712" width="3.1796875" customWidth="1"/>
    <col min="8713" max="8713" width="3.7265625" customWidth="1"/>
    <col min="8714" max="8717" width="6.81640625" customWidth="1"/>
    <col min="8718" max="8718" width="4.453125" customWidth="1"/>
    <col min="8719" max="8719" width="15.1796875" customWidth="1"/>
    <col min="8720" max="8720" width="15" bestFit="1" customWidth="1"/>
    <col min="8721" max="8721" width="14.7265625" customWidth="1"/>
    <col min="8722" max="8722" width="15" bestFit="1" customWidth="1"/>
    <col min="8725" max="8725" width="15" bestFit="1" customWidth="1"/>
    <col min="8961" max="8961" width="4.26953125" customWidth="1"/>
    <col min="8962" max="8962" width="3.54296875" customWidth="1"/>
    <col min="8963" max="8967" width="3.7265625" customWidth="1"/>
    <col min="8968" max="8968" width="3.1796875" customWidth="1"/>
    <col min="8969" max="8969" width="3.7265625" customWidth="1"/>
    <col min="8970" max="8973" width="6.81640625" customWidth="1"/>
    <col min="8974" max="8974" width="4.453125" customWidth="1"/>
    <col min="8975" max="8975" width="15.1796875" customWidth="1"/>
    <col min="8976" max="8976" width="15" bestFit="1" customWidth="1"/>
    <col min="8977" max="8977" width="14.7265625" customWidth="1"/>
    <col min="8978" max="8978" width="15" bestFit="1" customWidth="1"/>
    <col min="8981" max="8981" width="15" bestFit="1" customWidth="1"/>
    <col min="9217" max="9217" width="4.26953125" customWidth="1"/>
    <col min="9218" max="9218" width="3.54296875" customWidth="1"/>
    <col min="9219" max="9223" width="3.7265625" customWidth="1"/>
    <col min="9224" max="9224" width="3.1796875" customWidth="1"/>
    <col min="9225" max="9225" width="3.7265625" customWidth="1"/>
    <col min="9226" max="9229" width="6.81640625" customWidth="1"/>
    <col min="9230" max="9230" width="4.453125" customWidth="1"/>
    <col min="9231" max="9231" width="15.1796875" customWidth="1"/>
    <col min="9232" max="9232" width="15" bestFit="1" customWidth="1"/>
    <col min="9233" max="9233" width="14.7265625" customWidth="1"/>
    <col min="9234" max="9234" width="15" bestFit="1" customWidth="1"/>
    <col min="9237" max="9237" width="15" bestFit="1" customWidth="1"/>
    <col min="9473" max="9473" width="4.26953125" customWidth="1"/>
    <col min="9474" max="9474" width="3.54296875" customWidth="1"/>
    <col min="9475" max="9479" width="3.7265625" customWidth="1"/>
    <col min="9480" max="9480" width="3.1796875" customWidth="1"/>
    <col min="9481" max="9481" width="3.7265625" customWidth="1"/>
    <col min="9482" max="9485" width="6.81640625" customWidth="1"/>
    <col min="9486" max="9486" width="4.453125" customWidth="1"/>
    <col min="9487" max="9487" width="15.1796875" customWidth="1"/>
    <col min="9488" max="9488" width="15" bestFit="1" customWidth="1"/>
    <col min="9489" max="9489" width="14.7265625" customWidth="1"/>
    <col min="9490" max="9490" width="15" bestFit="1" customWidth="1"/>
    <col min="9493" max="9493" width="15" bestFit="1" customWidth="1"/>
    <col min="9729" max="9729" width="4.26953125" customWidth="1"/>
    <col min="9730" max="9730" width="3.54296875" customWidth="1"/>
    <col min="9731" max="9735" width="3.7265625" customWidth="1"/>
    <col min="9736" max="9736" width="3.1796875" customWidth="1"/>
    <col min="9737" max="9737" width="3.7265625" customWidth="1"/>
    <col min="9738" max="9741" width="6.81640625" customWidth="1"/>
    <col min="9742" max="9742" width="4.453125" customWidth="1"/>
    <col min="9743" max="9743" width="15.1796875" customWidth="1"/>
    <col min="9744" max="9744" width="15" bestFit="1" customWidth="1"/>
    <col min="9745" max="9745" width="14.7265625" customWidth="1"/>
    <col min="9746" max="9746" width="15" bestFit="1" customWidth="1"/>
    <col min="9749" max="9749" width="15" bestFit="1" customWidth="1"/>
    <col min="9985" max="9985" width="4.26953125" customWidth="1"/>
    <col min="9986" max="9986" width="3.54296875" customWidth="1"/>
    <col min="9987" max="9991" width="3.7265625" customWidth="1"/>
    <col min="9992" max="9992" width="3.1796875" customWidth="1"/>
    <col min="9993" max="9993" width="3.7265625" customWidth="1"/>
    <col min="9994" max="9997" width="6.81640625" customWidth="1"/>
    <col min="9998" max="9998" width="4.453125" customWidth="1"/>
    <col min="9999" max="9999" width="15.1796875" customWidth="1"/>
    <col min="10000" max="10000" width="15" bestFit="1" customWidth="1"/>
    <col min="10001" max="10001" width="14.7265625" customWidth="1"/>
    <col min="10002" max="10002" width="15" bestFit="1" customWidth="1"/>
    <col min="10005" max="10005" width="15" bestFit="1" customWidth="1"/>
    <col min="10241" max="10241" width="4.26953125" customWidth="1"/>
    <col min="10242" max="10242" width="3.54296875" customWidth="1"/>
    <col min="10243" max="10247" width="3.7265625" customWidth="1"/>
    <col min="10248" max="10248" width="3.1796875" customWidth="1"/>
    <col min="10249" max="10249" width="3.7265625" customWidth="1"/>
    <col min="10250" max="10253" width="6.81640625" customWidth="1"/>
    <col min="10254" max="10254" width="4.453125" customWidth="1"/>
    <col min="10255" max="10255" width="15.1796875" customWidth="1"/>
    <col min="10256" max="10256" width="15" bestFit="1" customWidth="1"/>
    <col min="10257" max="10257" width="14.7265625" customWidth="1"/>
    <col min="10258" max="10258" width="15" bestFit="1" customWidth="1"/>
    <col min="10261" max="10261" width="15" bestFit="1" customWidth="1"/>
    <col min="10497" max="10497" width="4.26953125" customWidth="1"/>
    <col min="10498" max="10498" width="3.54296875" customWidth="1"/>
    <col min="10499" max="10503" width="3.7265625" customWidth="1"/>
    <col min="10504" max="10504" width="3.1796875" customWidth="1"/>
    <col min="10505" max="10505" width="3.7265625" customWidth="1"/>
    <col min="10506" max="10509" width="6.81640625" customWidth="1"/>
    <col min="10510" max="10510" width="4.453125" customWidth="1"/>
    <col min="10511" max="10511" width="15.1796875" customWidth="1"/>
    <col min="10512" max="10512" width="15" bestFit="1" customWidth="1"/>
    <col min="10513" max="10513" width="14.7265625" customWidth="1"/>
    <col min="10514" max="10514" width="15" bestFit="1" customWidth="1"/>
    <col min="10517" max="10517" width="15" bestFit="1" customWidth="1"/>
    <col min="10753" max="10753" width="4.26953125" customWidth="1"/>
    <col min="10754" max="10754" width="3.54296875" customWidth="1"/>
    <col min="10755" max="10759" width="3.7265625" customWidth="1"/>
    <col min="10760" max="10760" width="3.1796875" customWidth="1"/>
    <col min="10761" max="10761" width="3.7265625" customWidth="1"/>
    <col min="10762" max="10765" width="6.81640625" customWidth="1"/>
    <col min="10766" max="10766" width="4.453125" customWidth="1"/>
    <col min="10767" max="10767" width="15.1796875" customWidth="1"/>
    <col min="10768" max="10768" width="15" bestFit="1" customWidth="1"/>
    <col min="10769" max="10769" width="14.7265625" customWidth="1"/>
    <col min="10770" max="10770" width="15" bestFit="1" customWidth="1"/>
    <col min="10773" max="10773" width="15" bestFit="1" customWidth="1"/>
    <col min="11009" max="11009" width="4.26953125" customWidth="1"/>
    <col min="11010" max="11010" width="3.54296875" customWidth="1"/>
    <col min="11011" max="11015" width="3.7265625" customWidth="1"/>
    <col min="11016" max="11016" width="3.1796875" customWidth="1"/>
    <col min="11017" max="11017" width="3.7265625" customWidth="1"/>
    <col min="11018" max="11021" width="6.81640625" customWidth="1"/>
    <col min="11022" max="11022" width="4.453125" customWidth="1"/>
    <col min="11023" max="11023" width="15.1796875" customWidth="1"/>
    <col min="11024" max="11024" width="15" bestFit="1" customWidth="1"/>
    <col min="11025" max="11025" width="14.7265625" customWidth="1"/>
    <col min="11026" max="11026" width="15" bestFit="1" customWidth="1"/>
    <col min="11029" max="11029" width="15" bestFit="1" customWidth="1"/>
    <col min="11265" max="11265" width="4.26953125" customWidth="1"/>
    <col min="11266" max="11266" width="3.54296875" customWidth="1"/>
    <col min="11267" max="11271" width="3.7265625" customWidth="1"/>
    <col min="11272" max="11272" width="3.1796875" customWidth="1"/>
    <col min="11273" max="11273" width="3.7265625" customWidth="1"/>
    <col min="11274" max="11277" width="6.81640625" customWidth="1"/>
    <col min="11278" max="11278" width="4.453125" customWidth="1"/>
    <col min="11279" max="11279" width="15.1796875" customWidth="1"/>
    <col min="11280" max="11280" width="15" bestFit="1" customWidth="1"/>
    <col min="11281" max="11281" width="14.7265625" customWidth="1"/>
    <col min="11282" max="11282" width="15" bestFit="1" customWidth="1"/>
    <col min="11285" max="11285" width="15" bestFit="1" customWidth="1"/>
    <col min="11521" max="11521" width="4.26953125" customWidth="1"/>
    <col min="11522" max="11522" width="3.54296875" customWidth="1"/>
    <col min="11523" max="11527" width="3.7265625" customWidth="1"/>
    <col min="11528" max="11528" width="3.1796875" customWidth="1"/>
    <col min="11529" max="11529" width="3.7265625" customWidth="1"/>
    <col min="11530" max="11533" width="6.81640625" customWidth="1"/>
    <col min="11534" max="11534" width="4.453125" customWidth="1"/>
    <col min="11535" max="11535" width="15.1796875" customWidth="1"/>
    <col min="11536" max="11536" width="15" bestFit="1" customWidth="1"/>
    <col min="11537" max="11537" width="14.7265625" customWidth="1"/>
    <col min="11538" max="11538" width="15" bestFit="1" customWidth="1"/>
    <col min="11541" max="11541" width="15" bestFit="1" customWidth="1"/>
    <col min="11777" max="11777" width="4.26953125" customWidth="1"/>
    <col min="11778" max="11778" width="3.54296875" customWidth="1"/>
    <col min="11779" max="11783" width="3.7265625" customWidth="1"/>
    <col min="11784" max="11784" width="3.1796875" customWidth="1"/>
    <col min="11785" max="11785" width="3.7265625" customWidth="1"/>
    <col min="11786" max="11789" width="6.81640625" customWidth="1"/>
    <col min="11790" max="11790" width="4.453125" customWidth="1"/>
    <col min="11791" max="11791" width="15.1796875" customWidth="1"/>
    <col min="11792" max="11792" width="15" bestFit="1" customWidth="1"/>
    <col min="11793" max="11793" width="14.7265625" customWidth="1"/>
    <col min="11794" max="11794" width="15" bestFit="1" customWidth="1"/>
    <col min="11797" max="11797" width="15" bestFit="1" customWidth="1"/>
    <col min="12033" max="12033" width="4.26953125" customWidth="1"/>
    <col min="12034" max="12034" width="3.54296875" customWidth="1"/>
    <col min="12035" max="12039" width="3.7265625" customWidth="1"/>
    <col min="12040" max="12040" width="3.1796875" customWidth="1"/>
    <col min="12041" max="12041" width="3.7265625" customWidth="1"/>
    <col min="12042" max="12045" width="6.81640625" customWidth="1"/>
    <col min="12046" max="12046" width="4.453125" customWidth="1"/>
    <col min="12047" max="12047" width="15.1796875" customWidth="1"/>
    <col min="12048" max="12048" width="15" bestFit="1" customWidth="1"/>
    <col min="12049" max="12049" width="14.7265625" customWidth="1"/>
    <col min="12050" max="12050" width="15" bestFit="1" customWidth="1"/>
    <col min="12053" max="12053" width="15" bestFit="1" customWidth="1"/>
    <col min="12289" max="12289" width="4.26953125" customWidth="1"/>
    <col min="12290" max="12290" width="3.54296875" customWidth="1"/>
    <col min="12291" max="12295" width="3.7265625" customWidth="1"/>
    <col min="12296" max="12296" width="3.1796875" customWidth="1"/>
    <col min="12297" max="12297" width="3.7265625" customWidth="1"/>
    <col min="12298" max="12301" width="6.81640625" customWidth="1"/>
    <col min="12302" max="12302" width="4.453125" customWidth="1"/>
    <col min="12303" max="12303" width="15.1796875" customWidth="1"/>
    <col min="12304" max="12304" width="15" bestFit="1" customWidth="1"/>
    <col min="12305" max="12305" width="14.7265625" customWidth="1"/>
    <col min="12306" max="12306" width="15" bestFit="1" customWidth="1"/>
    <col min="12309" max="12309" width="15" bestFit="1" customWidth="1"/>
    <col min="12545" max="12545" width="4.26953125" customWidth="1"/>
    <col min="12546" max="12546" width="3.54296875" customWidth="1"/>
    <col min="12547" max="12551" width="3.7265625" customWidth="1"/>
    <col min="12552" max="12552" width="3.1796875" customWidth="1"/>
    <col min="12553" max="12553" width="3.7265625" customWidth="1"/>
    <col min="12554" max="12557" width="6.81640625" customWidth="1"/>
    <col min="12558" max="12558" width="4.453125" customWidth="1"/>
    <col min="12559" max="12559" width="15.1796875" customWidth="1"/>
    <col min="12560" max="12560" width="15" bestFit="1" customWidth="1"/>
    <col min="12561" max="12561" width="14.7265625" customWidth="1"/>
    <col min="12562" max="12562" width="15" bestFit="1" customWidth="1"/>
    <col min="12565" max="12565" width="15" bestFit="1" customWidth="1"/>
    <col min="12801" max="12801" width="4.26953125" customWidth="1"/>
    <col min="12802" max="12802" width="3.54296875" customWidth="1"/>
    <col min="12803" max="12807" width="3.7265625" customWidth="1"/>
    <col min="12808" max="12808" width="3.1796875" customWidth="1"/>
    <col min="12809" max="12809" width="3.7265625" customWidth="1"/>
    <col min="12810" max="12813" width="6.81640625" customWidth="1"/>
    <col min="12814" max="12814" width="4.453125" customWidth="1"/>
    <col min="12815" max="12815" width="15.1796875" customWidth="1"/>
    <col min="12816" max="12816" width="15" bestFit="1" customWidth="1"/>
    <col min="12817" max="12817" width="14.7265625" customWidth="1"/>
    <col min="12818" max="12818" width="15" bestFit="1" customWidth="1"/>
    <col min="12821" max="12821" width="15" bestFit="1" customWidth="1"/>
    <col min="13057" max="13057" width="4.26953125" customWidth="1"/>
    <col min="13058" max="13058" width="3.54296875" customWidth="1"/>
    <col min="13059" max="13063" width="3.7265625" customWidth="1"/>
    <col min="13064" max="13064" width="3.1796875" customWidth="1"/>
    <col min="13065" max="13065" width="3.7265625" customWidth="1"/>
    <col min="13066" max="13069" width="6.81640625" customWidth="1"/>
    <col min="13070" max="13070" width="4.453125" customWidth="1"/>
    <col min="13071" max="13071" width="15.1796875" customWidth="1"/>
    <col min="13072" max="13072" width="15" bestFit="1" customWidth="1"/>
    <col min="13073" max="13073" width="14.7265625" customWidth="1"/>
    <col min="13074" max="13074" width="15" bestFit="1" customWidth="1"/>
    <col min="13077" max="13077" width="15" bestFit="1" customWidth="1"/>
    <col min="13313" max="13313" width="4.26953125" customWidth="1"/>
    <col min="13314" max="13314" width="3.54296875" customWidth="1"/>
    <col min="13315" max="13319" width="3.7265625" customWidth="1"/>
    <col min="13320" max="13320" width="3.1796875" customWidth="1"/>
    <col min="13321" max="13321" width="3.7265625" customWidth="1"/>
    <col min="13322" max="13325" width="6.81640625" customWidth="1"/>
    <col min="13326" max="13326" width="4.453125" customWidth="1"/>
    <col min="13327" max="13327" width="15.1796875" customWidth="1"/>
    <col min="13328" max="13328" width="15" bestFit="1" customWidth="1"/>
    <col min="13329" max="13329" width="14.7265625" customWidth="1"/>
    <col min="13330" max="13330" width="15" bestFit="1" customWidth="1"/>
    <col min="13333" max="13333" width="15" bestFit="1" customWidth="1"/>
    <col min="13569" max="13569" width="4.26953125" customWidth="1"/>
    <col min="13570" max="13570" width="3.54296875" customWidth="1"/>
    <col min="13571" max="13575" width="3.7265625" customWidth="1"/>
    <col min="13576" max="13576" width="3.1796875" customWidth="1"/>
    <col min="13577" max="13577" width="3.7265625" customWidth="1"/>
    <col min="13578" max="13581" width="6.81640625" customWidth="1"/>
    <col min="13582" max="13582" width="4.453125" customWidth="1"/>
    <col min="13583" max="13583" width="15.1796875" customWidth="1"/>
    <col min="13584" max="13584" width="15" bestFit="1" customWidth="1"/>
    <col min="13585" max="13585" width="14.7265625" customWidth="1"/>
    <col min="13586" max="13586" width="15" bestFit="1" customWidth="1"/>
    <col min="13589" max="13589" width="15" bestFit="1" customWidth="1"/>
    <col min="13825" max="13825" width="4.26953125" customWidth="1"/>
    <col min="13826" max="13826" width="3.54296875" customWidth="1"/>
    <col min="13827" max="13831" width="3.7265625" customWidth="1"/>
    <col min="13832" max="13832" width="3.1796875" customWidth="1"/>
    <col min="13833" max="13833" width="3.7265625" customWidth="1"/>
    <col min="13834" max="13837" width="6.81640625" customWidth="1"/>
    <col min="13838" max="13838" width="4.453125" customWidth="1"/>
    <col min="13839" max="13839" width="15.1796875" customWidth="1"/>
    <col min="13840" max="13840" width="15" bestFit="1" customWidth="1"/>
    <col min="13841" max="13841" width="14.7265625" customWidth="1"/>
    <col min="13842" max="13842" width="15" bestFit="1" customWidth="1"/>
    <col min="13845" max="13845" width="15" bestFit="1" customWidth="1"/>
    <col min="14081" max="14081" width="4.26953125" customWidth="1"/>
    <col min="14082" max="14082" width="3.54296875" customWidth="1"/>
    <col min="14083" max="14087" width="3.7265625" customWidth="1"/>
    <col min="14088" max="14088" width="3.1796875" customWidth="1"/>
    <col min="14089" max="14089" width="3.7265625" customWidth="1"/>
    <col min="14090" max="14093" width="6.81640625" customWidth="1"/>
    <col min="14094" max="14094" width="4.453125" customWidth="1"/>
    <col min="14095" max="14095" width="15.1796875" customWidth="1"/>
    <col min="14096" max="14096" width="15" bestFit="1" customWidth="1"/>
    <col min="14097" max="14097" width="14.7265625" customWidth="1"/>
    <col min="14098" max="14098" width="15" bestFit="1" customWidth="1"/>
    <col min="14101" max="14101" width="15" bestFit="1" customWidth="1"/>
    <col min="14337" max="14337" width="4.26953125" customWidth="1"/>
    <col min="14338" max="14338" width="3.54296875" customWidth="1"/>
    <col min="14339" max="14343" width="3.7265625" customWidth="1"/>
    <col min="14344" max="14344" width="3.1796875" customWidth="1"/>
    <col min="14345" max="14345" width="3.7265625" customWidth="1"/>
    <col min="14346" max="14349" width="6.81640625" customWidth="1"/>
    <col min="14350" max="14350" width="4.453125" customWidth="1"/>
    <col min="14351" max="14351" width="15.1796875" customWidth="1"/>
    <col min="14352" max="14352" width="15" bestFit="1" customWidth="1"/>
    <col min="14353" max="14353" width="14.7265625" customWidth="1"/>
    <col min="14354" max="14354" width="15" bestFit="1" customWidth="1"/>
    <col min="14357" max="14357" width="15" bestFit="1" customWidth="1"/>
    <col min="14593" max="14593" width="4.26953125" customWidth="1"/>
    <col min="14594" max="14594" width="3.54296875" customWidth="1"/>
    <col min="14595" max="14599" width="3.7265625" customWidth="1"/>
    <col min="14600" max="14600" width="3.1796875" customWidth="1"/>
    <col min="14601" max="14601" width="3.7265625" customWidth="1"/>
    <col min="14602" max="14605" width="6.81640625" customWidth="1"/>
    <col min="14606" max="14606" width="4.453125" customWidth="1"/>
    <col min="14607" max="14607" width="15.1796875" customWidth="1"/>
    <col min="14608" max="14608" width="15" bestFit="1" customWidth="1"/>
    <col min="14609" max="14609" width="14.7265625" customWidth="1"/>
    <col min="14610" max="14610" width="15" bestFit="1" customWidth="1"/>
    <col min="14613" max="14613" width="15" bestFit="1" customWidth="1"/>
    <col min="14849" max="14849" width="4.26953125" customWidth="1"/>
    <col min="14850" max="14850" width="3.54296875" customWidth="1"/>
    <col min="14851" max="14855" width="3.7265625" customWidth="1"/>
    <col min="14856" max="14856" width="3.1796875" customWidth="1"/>
    <col min="14857" max="14857" width="3.7265625" customWidth="1"/>
    <col min="14858" max="14861" width="6.81640625" customWidth="1"/>
    <col min="14862" max="14862" width="4.453125" customWidth="1"/>
    <col min="14863" max="14863" width="15.1796875" customWidth="1"/>
    <col min="14864" max="14864" width="15" bestFit="1" customWidth="1"/>
    <col min="14865" max="14865" width="14.7265625" customWidth="1"/>
    <col min="14866" max="14866" width="15" bestFit="1" customWidth="1"/>
    <col min="14869" max="14869" width="15" bestFit="1" customWidth="1"/>
    <col min="15105" max="15105" width="4.26953125" customWidth="1"/>
    <col min="15106" max="15106" width="3.54296875" customWidth="1"/>
    <col min="15107" max="15111" width="3.7265625" customWidth="1"/>
    <col min="15112" max="15112" width="3.1796875" customWidth="1"/>
    <col min="15113" max="15113" width="3.7265625" customWidth="1"/>
    <col min="15114" max="15117" width="6.81640625" customWidth="1"/>
    <col min="15118" max="15118" width="4.453125" customWidth="1"/>
    <col min="15119" max="15119" width="15.1796875" customWidth="1"/>
    <col min="15120" max="15120" width="15" bestFit="1" customWidth="1"/>
    <col min="15121" max="15121" width="14.7265625" customWidth="1"/>
    <col min="15122" max="15122" width="15" bestFit="1" customWidth="1"/>
    <col min="15125" max="15125" width="15" bestFit="1" customWidth="1"/>
    <col min="15361" max="15361" width="4.26953125" customWidth="1"/>
    <col min="15362" max="15362" width="3.54296875" customWidth="1"/>
    <col min="15363" max="15367" width="3.7265625" customWidth="1"/>
    <col min="15368" max="15368" width="3.1796875" customWidth="1"/>
    <col min="15369" max="15369" width="3.7265625" customWidth="1"/>
    <col min="15370" max="15373" width="6.81640625" customWidth="1"/>
    <col min="15374" max="15374" width="4.453125" customWidth="1"/>
    <col min="15375" max="15375" width="15.1796875" customWidth="1"/>
    <col min="15376" max="15376" width="15" bestFit="1" customWidth="1"/>
    <col min="15377" max="15377" width="14.7265625" customWidth="1"/>
    <col min="15378" max="15378" width="15" bestFit="1" customWidth="1"/>
    <col min="15381" max="15381" width="15" bestFit="1" customWidth="1"/>
    <col min="15617" max="15617" width="4.26953125" customWidth="1"/>
    <col min="15618" max="15618" width="3.54296875" customWidth="1"/>
    <col min="15619" max="15623" width="3.7265625" customWidth="1"/>
    <col min="15624" max="15624" width="3.1796875" customWidth="1"/>
    <col min="15625" max="15625" width="3.7265625" customWidth="1"/>
    <col min="15626" max="15629" width="6.81640625" customWidth="1"/>
    <col min="15630" max="15630" width="4.453125" customWidth="1"/>
    <col min="15631" max="15631" width="15.1796875" customWidth="1"/>
    <col min="15632" max="15632" width="15" bestFit="1" customWidth="1"/>
    <col min="15633" max="15633" width="14.7265625" customWidth="1"/>
    <col min="15634" max="15634" width="15" bestFit="1" customWidth="1"/>
    <col min="15637" max="15637" width="15" bestFit="1" customWidth="1"/>
    <col min="15873" max="15873" width="4.26953125" customWidth="1"/>
    <col min="15874" max="15874" width="3.54296875" customWidth="1"/>
    <col min="15875" max="15879" width="3.7265625" customWidth="1"/>
    <col min="15880" max="15880" width="3.1796875" customWidth="1"/>
    <col min="15881" max="15881" width="3.7265625" customWidth="1"/>
    <col min="15882" max="15885" width="6.81640625" customWidth="1"/>
    <col min="15886" max="15886" width="4.453125" customWidth="1"/>
    <col min="15887" max="15887" width="15.1796875" customWidth="1"/>
    <col min="15888" max="15888" width="15" bestFit="1" customWidth="1"/>
    <col min="15889" max="15889" width="14.7265625" customWidth="1"/>
    <col min="15890" max="15890" width="15" bestFit="1" customWidth="1"/>
    <col min="15893" max="15893" width="15" bestFit="1" customWidth="1"/>
    <col min="16129" max="16129" width="4.26953125" customWidth="1"/>
    <col min="16130" max="16130" width="3.54296875" customWidth="1"/>
    <col min="16131" max="16135" width="3.7265625" customWidth="1"/>
    <col min="16136" max="16136" width="3.1796875" customWidth="1"/>
    <col min="16137" max="16137" width="3.7265625" customWidth="1"/>
    <col min="16138" max="16141" width="6.81640625" customWidth="1"/>
    <col min="16142" max="16142" width="4.453125" customWidth="1"/>
    <col min="16143" max="16143" width="15.1796875" customWidth="1"/>
    <col min="16144" max="16144" width="15" bestFit="1" customWidth="1"/>
    <col min="16145" max="16145" width="14.7265625" customWidth="1"/>
    <col min="16146" max="16146" width="15" bestFit="1" customWidth="1"/>
    <col min="16149" max="16149" width="15" bestFit="1" customWidth="1"/>
  </cols>
  <sheetData>
    <row r="1" spans="1:18" ht="15.5" x14ac:dyDescent="0.35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</row>
    <row r="2" spans="1:18" ht="15.5" x14ac:dyDescent="0.35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spans="1:18" ht="15.5" x14ac:dyDescent="0.35">
      <c r="A3" s="95" t="s">
        <v>2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</row>
    <row r="4" spans="1:18" x14ac:dyDescent="0.25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pans="1:18" ht="13" thickBot="1" x14ac:dyDescent="0.3"/>
    <row r="6" spans="1:18" ht="13" thickTop="1" x14ac:dyDescent="0.25">
      <c r="A6" s="1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</row>
    <row r="7" spans="1:18" x14ac:dyDescent="0.25">
      <c r="A7" s="4" t="s">
        <v>4</v>
      </c>
      <c r="C7" s="5" t="s">
        <v>37</v>
      </c>
      <c r="R7" s="6"/>
    </row>
    <row r="8" spans="1:18" ht="13" thickBot="1" x14ac:dyDescent="0.3">
      <c r="A8" s="7" t="s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9"/>
    </row>
    <row r="9" spans="1:18" x14ac:dyDescent="0.25">
      <c r="A9" s="10" t="s">
        <v>6</v>
      </c>
      <c r="B9" s="65" t="s">
        <v>7</v>
      </c>
      <c r="I9" s="5"/>
      <c r="J9" s="5" t="s">
        <v>8</v>
      </c>
      <c r="K9" s="58" t="s">
        <v>46</v>
      </c>
      <c r="R9" s="6"/>
    </row>
    <row r="10" spans="1:18" x14ac:dyDescent="0.25">
      <c r="A10" s="10" t="s">
        <v>9</v>
      </c>
      <c r="B10" s="5" t="s">
        <v>10</v>
      </c>
      <c r="I10" s="5"/>
      <c r="J10" s="5" t="s">
        <v>8</v>
      </c>
      <c r="K10" s="58" t="s">
        <v>40</v>
      </c>
      <c r="O10" s="65" t="s">
        <v>50</v>
      </c>
      <c r="R10" s="6"/>
    </row>
    <row r="11" spans="1:18" x14ac:dyDescent="0.25">
      <c r="A11" s="10" t="s">
        <v>11</v>
      </c>
      <c r="B11" s="5" t="s">
        <v>12</v>
      </c>
      <c r="I11" s="5"/>
      <c r="J11" s="5" t="s">
        <v>8</v>
      </c>
      <c r="K11" s="58" t="s">
        <v>39</v>
      </c>
      <c r="O11" s="58" t="s">
        <v>51</v>
      </c>
      <c r="R11" s="6"/>
    </row>
    <row r="12" spans="1:18" ht="24.75" customHeight="1" x14ac:dyDescent="0.25">
      <c r="A12" s="10" t="s">
        <v>13</v>
      </c>
      <c r="B12" s="5" t="s">
        <v>14</v>
      </c>
      <c r="I12" s="5"/>
      <c r="J12" s="5" t="s">
        <v>8</v>
      </c>
      <c r="K12" s="58" t="s">
        <v>63</v>
      </c>
      <c r="O12" s="96" t="s">
        <v>64</v>
      </c>
      <c r="P12" s="97"/>
      <c r="Q12" s="97"/>
      <c r="R12" s="98"/>
    </row>
    <row r="13" spans="1:18" x14ac:dyDescent="0.25">
      <c r="A13" s="10" t="s">
        <v>15</v>
      </c>
      <c r="B13" s="5" t="s">
        <v>16</v>
      </c>
      <c r="I13" s="5"/>
      <c r="J13" s="5" t="s">
        <v>8</v>
      </c>
      <c r="K13">
        <v>2026</v>
      </c>
      <c r="R13" s="6"/>
    </row>
    <row r="14" spans="1:18" x14ac:dyDescent="0.25">
      <c r="A14" s="10" t="s">
        <v>17</v>
      </c>
      <c r="B14" s="5" t="s">
        <v>18</v>
      </c>
      <c r="I14" s="5"/>
      <c r="J14" s="5" t="s">
        <v>8</v>
      </c>
      <c r="K14" s="99">
        <f>Q23</f>
        <v>6349000</v>
      </c>
      <c r="L14" s="99"/>
      <c r="M14" s="99"/>
      <c r="R14" s="6"/>
    </row>
    <row r="15" spans="1:18" ht="13" thickBot="1" x14ac:dyDescent="0.3">
      <c r="A15" s="10"/>
      <c r="B15" s="58" t="s">
        <v>65</v>
      </c>
      <c r="R15" s="6"/>
    </row>
    <row r="16" spans="1:18" ht="13" thickBot="1" x14ac:dyDescent="0.3">
      <c r="A16" s="100" t="s">
        <v>19</v>
      </c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2"/>
    </row>
    <row r="17" spans="1:21" ht="37.5" x14ac:dyDescent="0.25">
      <c r="A17" s="11" t="s">
        <v>20</v>
      </c>
      <c r="B17" s="84" t="s">
        <v>21</v>
      </c>
      <c r="C17" s="85"/>
      <c r="D17" s="85"/>
      <c r="E17" s="85"/>
      <c r="F17" s="85"/>
      <c r="G17" s="85"/>
      <c r="H17" s="86"/>
      <c r="I17" s="87" t="s">
        <v>22</v>
      </c>
      <c r="J17" s="87"/>
      <c r="K17" s="87"/>
      <c r="L17" s="87"/>
      <c r="M17" s="87"/>
      <c r="N17" s="87"/>
      <c r="O17" s="12" t="s">
        <v>23</v>
      </c>
      <c r="P17" s="63" t="s">
        <v>24</v>
      </c>
      <c r="Q17" s="12" t="s">
        <v>25</v>
      </c>
      <c r="R17" s="13" t="s">
        <v>26</v>
      </c>
    </row>
    <row r="18" spans="1:21" ht="24.75" customHeight="1" x14ac:dyDescent="0.25">
      <c r="A18" s="14">
        <v>1</v>
      </c>
      <c r="B18" s="15"/>
      <c r="C18" s="70" t="s">
        <v>59</v>
      </c>
      <c r="D18" s="68"/>
      <c r="E18" s="69"/>
      <c r="F18" s="69"/>
      <c r="G18" s="69"/>
      <c r="H18" s="18"/>
      <c r="I18" s="88" t="s">
        <v>44</v>
      </c>
      <c r="J18" s="89"/>
      <c r="K18" s="89"/>
      <c r="L18" s="89"/>
      <c r="M18" s="89"/>
      <c r="N18" s="90"/>
      <c r="O18" s="20">
        <v>1054000</v>
      </c>
      <c r="P18" s="21">
        <v>0</v>
      </c>
      <c r="Q18" s="20">
        <v>1054000</v>
      </c>
      <c r="R18" s="22">
        <f>O18-P18-Q18</f>
        <v>0</v>
      </c>
    </row>
    <row r="19" spans="1:21" ht="33.75" customHeight="1" x14ac:dyDescent="0.25">
      <c r="A19" s="14">
        <v>2</v>
      </c>
      <c r="B19" s="15"/>
      <c r="C19" s="70" t="s">
        <v>60</v>
      </c>
      <c r="D19" s="68"/>
      <c r="E19" s="69"/>
      <c r="F19" s="69"/>
      <c r="G19" s="69"/>
      <c r="H19" s="18"/>
      <c r="I19" s="88" t="s">
        <v>45</v>
      </c>
      <c r="J19" s="89"/>
      <c r="K19" s="89"/>
      <c r="L19" s="89"/>
      <c r="M19" s="89"/>
      <c r="N19" s="90"/>
      <c r="O19" s="20">
        <v>460000</v>
      </c>
      <c r="P19" s="21"/>
      <c r="Q19" s="20">
        <v>460000</v>
      </c>
      <c r="R19" s="22">
        <f t="shared" ref="R19:R22" si="0">O19-P19-Q19</f>
        <v>0</v>
      </c>
    </row>
    <row r="20" spans="1:21" x14ac:dyDescent="0.25">
      <c r="A20" s="14">
        <v>3</v>
      </c>
      <c r="B20" s="15"/>
      <c r="C20" s="70" t="s">
        <v>59</v>
      </c>
      <c r="D20" s="68"/>
      <c r="E20" s="69"/>
      <c r="F20" s="69"/>
      <c r="G20" s="69"/>
      <c r="H20" s="18"/>
      <c r="I20" s="88" t="s">
        <v>42</v>
      </c>
      <c r="J20" s="89"/>
      <c r="K20" s="89"/>
      <c r="L20" s="89"/>
      <c r="M20" s="89"/>
      <c r="N20" s="90"/>
      <c r="O20" s="20">
        <v>1535000</v>
      </c>
      <c r="P20" s="21"/>
      <c r="Q20" s="20">
        <v>1535000</v>
      </c>
      <c r="R20" s="22">
        <f t="shared" si="0"/>
        <v>0</v>
      </c>
    </row>
    <row r="21" spans="1:21" x14ac:dyDescent="0.25">
      <c r="A21" s="24">
        <v>4</v>
      </c>
      <c r="B21" s="25"/>
      <c r="C21" s="70" t="s">
        <v>48</v>
      </c>
      <c r="D21" s="68"/>
      <c r="E21" s="69"/>
      <c r="F21" s="69"/>
      <c r="G21" s="69"/>
      <c r="H21" s="18"/>
      <c r="I21" s="59" t="s">
        <v>49</v>
      </c>
      <c r="J21" s="16"/>
      <c r="K21" s="16"/>
      <c r="L21" s="16"/>
      <c r="M21" s="16"/>
      <c r="N21" s="16"/>
      <c r="O21" s="20">
        <v>6000000</v>
      </c>
      <c r="P21" s="21"/>
      <c r="Q21" s="20">
        <v>3000000</v>
      </c>
      <c r="R21" s="22">
        <f t="shared" si="0"/>
        <v>3000000</v>
      </c>
    </row>
    <row r="22" spans="1:21" ht="13" thickBot="1" x14ac:dyDescent="0.3">
      <c r="A22" s="31">
        <v>5</v>
      </c>
      <c r="B22" s="32"/>
      <c r="C22" s="70" t="s">
        <v>61</v>
      </c>
      <c r="D22" s="33"/>
      <c r="E22" s="33"/>
      <c r="F22" s="33"/>
      <c r="G22" s="33"/>
      <c r="H22" s="34"/>
      <c r="I22" s="73" t="s">
        <v>41</v>
      </c>
      <c r="J22" s="35"/>
      <c r="K22" s="35"/>
      <c r="L22" s="35"/>
      <c r="M22" s="35"/>
      <c r="N22" s="35"/>
      <c r="O22" s="36">
        <v>750000</v>
      </c>
      <c r="P22" s="35"/>
      <c r="Q22" s="36">
        <v>300000</v>
      </c>
      <c r="R22" s="37">
        <f t="shared" si="0"/>
        <v>450000</v>
      </c>
    </row>
    <row r="23" spans="1:21" ht="13.5" thickBot="1" x14ac:dyDescent="0.35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40" t="s">
        <v>27</v>
      </c>
      <c r="N23" s="39"/>
      <c r="O23" s="41">
        <f>SUM(O18:O22)</f>
        <v>9799000</v>
      </c>
      <c r="P23" s="41">
        <f>SUM(P18:P21)</f>
        <v>0</v>
      </c>
      <c r="Q23" s="41">
        <f>SUM(Q18:Q22)</f>
        <v>6349000</v>
      </c>
      <c r="R23" s="41">
        <f>SUM(R18:R22)</f>
        <v>3450000</v>
      </c>
      <c r="U23" s="42"/>
    </row>
    <row r="24" spans="1:21" x14ac:dyDescent="0.25">
      <c r="A24" s="91" t="s">
        <v>28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3"/>
    </row>
    <row r="25" spans="1:21" x14ac:dyDescent="0.25">
      <c r="A25" s="14" t="s">
        <v>29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43" t="s">
        <v>30</v>
      </c>
      <c r="R25" s="44">
        <v>0</v>
      </c>
    </row>
    <row r="26" spans="1:21" ht="13" thickBot="1" x14ac:dyDescent="0.3">
      <c r="A26" s="45" t="s">
        <v>31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46" t="s">
        <v>30</v>
      </c>
      <c r="R26" s="47">
        <v>0</v>
      </c>
    </row>
    <row r="27" spans="1:21" x14ac:dyDescent="0.25">
      <c r="A27" s="48" t="s">
        <v>32</v>
      </c>
      <c r="B27" s="49"/>
      <c r="C27" s="49"/>
      <c r="D27" s="49"/>
      <c r="E27" s="49"/>
      <c r="F27" s="49"/>
      <c r="G27" s="49"/>
      <c r="H27" s="49" t="s">
        <v>33</v>
      </c>
      <c r="I27" s="49"/>
      <c r="J27" s="49"/>
      <c r="K27" s="49"/>
      <c r="L27" s="78">
        <f>Q23</f>
        <v>6349000</v>
      </c>
      <c r="M27" s="79"/>
      <c r="N27" s="79"/>
      <c r="O27" s="49"/>
      <c r="P27" s="49"/>
      <c r="Q27" s="49"/>
      <c r="R27" s="50"/>
    </row>
    <row r="28" spans="1:21" x14ac:dyDescent="0.25">
      <c r="A28" s="51" t="s">
        <v>28</v>
      </c>
      <c r="H28" t="s">
        <v>33</v>
      </c>
      <c r="M28" s="80">
        <v>0</v>
      </c>
      <c r="N28" s="80"/>
      <c r="R28" s="6"/>
    </row>
    <row r="29" spans="1:21" x14ac:dyDescent="0.25">
      <c r="A29" s="51" t="s">
        <v>34</v>
      </c>
      <c r="H29" t="s">
        <v>33</v>
      </c>
      <c r="L29" s="81">
        <f>L27</f>
        <v>6349000</v>
      </c>
      <c r="M29" s="82"/>
      <c r="N29" s="82"/>
      <c r="R29" s="6"/>
    </row>
    <row r="30" spans="1:21" ht="13.5" thickBot="1" x14ac:dyDescent="0.35">
      <c r="A30" s="52" t="str">
        <f>B15</f>
        <v>Enam Juta Tiga Ratus Empat Puluh Sembilan Ribu Rupiah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9"/>
    </row>
    <row r="31" spans="1:21" x14ac:dyDescent="0.25">
      <c r="A31" s="48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50"/>
    </row>
    <row r="32" spans="1:21" x14ac:dyDescent="0.25">
      <c r="A32" s="51"/>
      <c r="R32" s="6"/>
    </row>
    <row r="33" spans="1:18" x14ac:dyDescent="0.25">
      <c r="A33" s="51"/>
      <c r="N33" s="72"/>
      <c r="O33" s="64" t="s">
        <v>66</v>
      </c>
      <c r="P33" s="58"/>
      <c r="R33" s="6"/>
    </row>
    <row r="34" spans="1:18" x14ac:dyDescent="0.25">
      <c r="A34" s="51"/>
      <c r="B34" s="77" t="s">
        <v>36</v>
      </c>
      <c r="C34" s="77"/>
      <c r="D34" s="77"/>
      <c r="E34" s="77"/>
      <c r="F34" s="77"/>
      <c r="G34" s="77"/>
      <c r="H34" s="77"/>
      <c r="I34" s="77"/>
      <c r="R34" s="6"/>
    </row>
    <row r="35" spans="1:18" x14ac:dyDescent="0.25">
      <c r="A35" s="83" t="s">
        <v>38</v>
      </c>
      <c r="B35" s="77"/>
      <c r="C35" s="77"/>
      <c r="D35" s="77"/>
      <c r="E35" s="77"/>
      <c r="F35" s="77"/>
      <c r="G35" s="77"/>
      <c r="H35" s="77"/>
      <c r="I35" s="77"/>
      <c r="J35" s="77"/>
      <c r="O35" s="77" t="s">
        <v>7</v>
      </c>
      <c r="P35" s="77"/>
      <c r="Q35" s="77"/>
      <c r="R35" s="6"/>
    </row>
    <row r="36" spans="1:18" x14ac:dyDescent="0.25">
      <c r="A36" s="51"/>
      <c r="R36" s="6"/>
    </row>
    <row r="37" spans="1:18" x14ac:dyDescent="0.25">
      <c r="A37" s="51"/>
      <c r="R37" s="6"/>
    </row>
    <row r="38" spans="1:18" x14ac:dyDescent="0.25">
      <c r="A38" s="51"/>
      <c r="R38" s="6"/>
    </row>
    <row r="39" spans="1:18" x14ac:dyDescent="0.25">
      <c r="A39" s="51"/>
      <c r="R39" s="6"/>
    </row>
    <row r="40" spans="1:18" ht="13" x14ac:dyDescent="0.3">
      <c r="A40" s="74" t="s">
        <v>55</v>
      </c>
      <c r="B40" s="75"/>
      <c r="C40" s="75"/>
      <c r="D40" s="75"/>
      <c r="E40" s="75"/>
      <c r="F40" s="75"/>
      <c r="G40" s="75"/>
      <c r="H40" s="75"/>
      <c r="I40" s="75"/>
      <c r="J40" s="75"/>
      <c r="O40" s="75" t="str">
        <f>K9</f>
        <v>MUHLIS HADIU</v>
      </c>
      <c r="P40" s="75"/>
      <c r="Q40" s="75"/>
      <c r="R40" s="6"/>
    </row>
    <row r="41" spans="1:18" x14ac:dyDescent="0.25">
      <c r="A41" s="51"/>
      <c r="B41" s="76" t="s">
        <v>56</v>
      </c>
      <c r="C41" s="77"/>
      <c r="D41" s="77"/>
      <c r="E41" s="77"/>
      <c r="F41" s="77"/>
      <c r="G41" s="77"/>
      <c r="H41" s="77"/>
      <c r="I41" s="77"/>
      <c r="O41" s="76" t="s">
        <v>54</v>
      </c>
      <c r="P41" s="77"/>
      <c r="Q41" s="77"/>
      <c r="R41" s="6"/>
    </row>
    <row r="42" spans="1:18" ht="13" thickBot="1" x14ac:dyDescent="0.3">
      <c r="A42" s="54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6"/>
    </row>
    <row r="43" spans="1:18" ht="13" thickTop="1" x14ac:dyDescent="0.25"/>
  </sheetData>
  <mergeCells count="22">
    <mergeCell ref="A24:R24"/>
    <mergeCell ref="A1:R1"/>
    <mergeCell ref="A2:R2"/>
    <mergeCell ref="A3:R3"/>
    <mergeCell ref="O12:R12"/>
    <mergeCell ref="K14:M14"/>
    <mergeCell ref="A16:R16"/>
    <mergeCell ref="B17:H17"/>
    <mergeCell ref="I17:N17"/>
    <mergeCell ref="I18:N18"/>
    <mergeCell ref="I19:N19"/>
    <mergeCell ref="I20:N20"/>
    <mergeCell ref="A40:J40"/>
    <mergeCell ref="O40:Q40"/>
    <mergeCell ref="B41:I41"/>
    <mergeCell ref="O41:Q41"/>
    <mergeCell ref="L27:N27"/>
    <mergeCell ref="M28:N28"/>
    <mergeCell ref="L29:N29"/>
    <mergeCell ref="B34:I34"/>
    <mergeCell ref="A35:J35"/>
    <mergeCell ref="O35:Q35"/>
  </mergeCells>
  <printOptions horizontalCentered="1"/>
  <pageMargins left="0.25" right="0.05" top="1" bottom="1" header="0.5" footer="0.5"/>
  <pageSetup paperSize="5" scale="82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view="pageBreakPreview" zoomScaleSheetLayoutView="100" workbookViewId="0">
      <selection activeCell="A7" sqref="A7"/>
    </sheetView>
  </sheetViews>
  <sheetFormatPr defaultRowHeight="12.5" x14ac:dyDescent="0.25"/>
  <cols>
    <col min="1" max="1" width="3.81640625" customWidth="1"/>
    <col min="2" max="2" width="3.54296875" customWidth="1"/>
    <col min="3" max="7" width="3.7265625" customWidth="1"/>
    <col min="8" max="8" width="1.1796875" customWidth="1"/>
    <col min="9" max="9" width="3.7265625" customWidth="1"/>
    <col min="10" max="13" width="6.81640625" customWidth="1"/>
    <col min="14" max="14" width="4.54296875" customWidth="1"/>
    <col min="15" max="15" width="15.1796875" customWidth="1"/>
    <col min="16" max="16" width="12" customWidth="1"/>
    <col min="17" max="17" width="14.7265625" customWidth="1"/>
    <col min="18" max="18" width="15.1796875" customWidth="1"/>
    <col min="21" max="21" width="15" bestFit="1" customWidth="1"/>
    <col min="257" max="257" width="4.26953125" customWidth="1"/>
    <col min="258" max="258" width="3.54296875" customWidth="1"/>
    <col min="259" max="263" width="3.7265625" customWidth="1"/>
    <col min="264" max="264" width="3.1796875" customWidth="1"/>
    <col min="265" max="265" width="3.7265625" customWidth="1"/>
    <col min="266" max="269" width="6.81640625" customWidth="1"/>
    <col min="270" max="270" width="4.453125" customWidth="1"/>
    <col min="271" max="271" width="15.1796875" customWidth="1"/>
    <col min="272" max="272" width="15" bestFit="1" customWidth="1"/>
    <col min="273" max="273" width="14.7265625" customWidth="1"/>
    <col min="274" max="274" width="15" bestFit="1" customWidth="1"/>
    <col min="277" max="277" width="15" bestFit="1" customWidth="1"/>
    <col min="513" max="513" width="4.26953125" customWidth="1"/>
    <col min="514" max="514" width="3.54296875" customWidth="1"/>
    <col min="515" max="519" width="3.7265625" customWidth="1"/>
    <col min="520" max="520" width="3.1796875" customWidth="1"/>
    <col min="521" max="521" width="3.7265625" customWidth="1"/>
    <col min="522" max="525" width="6.81640625" customWidth="1"/>
    <col min="526" max="526" width="4.453125" customWidth="1"/>
    <col min="527" max="527" width="15.1796875" customWidth="1"/>
    <col min="528" max="528" width="15" bestFit="1" customWidth="1"/>
    <col min="529" max="529" width="14.7265625" customWidth="1"/>
    <col min="530" max="530" width="15" bestFit="1" customWidth="1"/>
    <col min="533" max="533" width="15" bestFit="1" customWidth="1"/>
    <col min="769" max="769" width="4.26953125" customWidth="1"/>
    <col min="770" max="770" width="3.54296875" customWidth="1"/>
    <col min="771" max="775" width="3.7265625" customWidth="1"/>
    <col min="776" max="776" width="3.1796875" customWidth="1"/>
    <col min="777" max="777" width="3.7265625" customWidth="1"/>
    <col min="778" max="781" width="6.81640625" customWidth="1"/>
    <col min="782" max="782" width="4.453125" customWidth="1"/>
    <col min="783" max="783" width="15.1796875" customWidth="1"/>
    <col min="784" max="784" width="15" bestFit="1" customWidth="1"/>
    <col min="785" max="785" width="14.7265625" customWidth="1"/>
    <col min="786" max="786" width="15" bestFit="1" customWidth="1"/>
    <col min="789" max="789" width="15" bestFit="1" customWidth="1"/>
    <col min="1025" max="1025" width="4.26953125" customWidth="1"/>
    <col min="1026" max="1026" width="3.54296875" customWidth="1"/>
    <col min="1027" max="1031" width="3.7265625" customWidth="1"/>
    <col min="1032" max="1032" width="3.1796875" customWidth="1"/>
    <col min="1033" max="1033" width="3.7265625" customWidth="1"/>
    <col min="1034" max="1037" width="6.81640625" customWidth="1"/>
    <col min="1038" max="1038" width="4.453125" customWidth="1"/>
    <col min="1039" max="1039" width="15.1796875" customWidth="1"/>
    <col min="1040" max="1040" width="15" bestFit="1" customWidth="1"/>
    <col min="1041" max="1041" width="14.7265625" customWidth="1"/>
    <col min="1042" max="1042" width="15" bestFit="1" customWidth="1"/>
    <col min="1045" max="1045" width="15" bestFit="1" customWidth="1"/>
    <col min="1281" max="1281" width="4.26953125" customWidth="1"/>
    <col min="1282" max="1282" width="3.54296875" customWidth="1"/>
    <col min="1283" max="1287" width="3.7265625" customWidth="1"/>
    <col min="1288" max="1288" width="3.1796875" customWidth="1"/>
    <col min="1289" max="1289" width="3.7265625" customWidth="1"/>
    <col min="1290" max="1293" width="6.81640625" customWidth="1"/>
    <col min="1294" max="1294" width="4.453125" customWidth="1"/>
    <col min="1295" max="1295" width="15.1796875" customWidth="1"/>
    <col min="1296" max="1296" width="15" bestFit="1" customWidth="1"/>
    <col min="1297" max="1297" width="14.7265625" customWidth="1"/>
    <col min="1298" max="1298" width="15" bestFit="1" customWidth="1"/>
    <col min="1301" max="1301" width="15" bestFit="1" customWidth="1"/>
    <col min="1537" max="1537" width="4.26953125" customWidth="1"/>
    <col min="1538" max="1538" width="3.54296875" customWidth="1"/>
    <col min="1539" max="1543" width="3.7265625" customWidth="1"/>
    <col min="1544" max="1544" width="3.1796875" customWidth="1"/>
    <col min="1545" max="1545" width="3.7265625" customWidth="1"/>
    <col min="1546" max="1549" width="6.81640625" customWidth="1"/>
    <col min="1550" max="1550" width="4.453125" customWidth="1"/>
    <col min="1551" max="1551" width="15.1796875" customWidth="1"/>
    <col min="1552" max="1552" width="15" bestFit="1" customWidth="1"/>
    <col min="1553" max="1553" width="14.7265625" customWidth="1"/>
    <col min="1554" max="1554" width="15" bestFit="1" customWidth="1"/>
    <col min="1557" max="1557" width="15" bestFit="1" customWidth="1"/>
    <col min="1793" max="1793" width="4.26953125" customWidth="1"/>
    <col min="1794" max="1794" width="3.54296875" customWidth="1"/>
    <col min="1795" max="1799" width="3.7265625" customWidth="1"/>
    <col min="1800" max="1800" width="3.1796875" customWidth="1"/>
    <col min="1801" max="1801" width="3.7265625" customWidth="1"/>
    <col min="1802" max="1805" width="6.81640625" customWidth="1"/>
    <col min="1806" max="1806" width="4.453125" customWidth="1"/>
    <col min="1807" max="1807" width="15.1796875" customWidth="1"/>
    <col min="1808" max="1808" width="15" bestFit="1" customWidth="1"/>
    <col min="1809" max="1809" width="14.7265625" customWidth="1"/>
    <col min="1810" max="1810" width="15" bestFit="1" customWidth="1"/>
    <col min="1813" max="1813" width="15" bestFit="1" customWidth="1"/>
    <col min="2049" max="2049" width="4.26953125" customWidth="1"/>
    <col min="2050" max="2050" width="3.54296875" customWidth="1"/>
    <col min="2051" max="2055" width="3.7265625" customWidth="1"/>
    <col min="2056" max="2056" width="3.1796875" customWidth="1"/>
    <col min="2057" max="2057" width="3.7265625" customWidth="1"/>
    <col min="2058" max="2061" width="6.81640625" customWidth="1"/>
    <col min="2062" max="2062" width="4.453125" customWidth="1"/>
    <col min="2063" max="2063" width="15.1796875" customWidth="1"/>
    <col min="2064" max="2064" width="15" bestFit="1" customWidth="1"/>
    <col min="2065" max="2065" width="14.7265625" customWidth="1"/>
    <col min="2066" max="2066" width="15" bestFit="1" customWidth="1"/>
    <col min="2069" max="2069" width="15" bestFit="1" customWidth="1"/>
    <col min="2305" max="2305" width="4.26953125" customWidth="1"/>
    <col min="2306" max="2306" width="3.54296875" customWidth="1"/>
    <col min="2307" max="2311" width="3.7265625" customWidth="1"/>
    <col min="2312" max="2312" width="3.1796875" customWidth="1"/>
    <col min="2313" max="2313" width="3.7265625" customWidth="1"/>
    <col min="2314" max="2317" width="6.81640625" customWidth="1"/>
    <col min="2318" max="2318" width="4.453125" customWidth="1"/>
    <col min="2319" max="2319" width="15.1796875" customWidth="1"/>
    <col min="2320" max="2320" width="15" bestFit="1" customWidth="1"/>
    <col min="2321" max="2321" width="14.7265625" customWidth="1"/>
    <col min="2322" max="2322" width="15" bestFit="1" customWidth="1"/>
    <col min="2325" max="2325" width="15" bestFit="1" customWidth="1"/>
    <col min="2561" max="2561" width="4.26953125" customWidth="1"/>
    <col min="2562" max="2562" width="3.54296875" customWidth="1"/>
    <col min="2563" max="2567" width="3.7265625" customWidth="1"/>
    <col min="2568" max="2568" width="3.1796875" customWidth="1"/>
    <col min="2569" max="2569" width="3.7265625" customWidth="1"/>
    <col min="2570" max="2573" width="6.81640625" customWidth="1"/>
    <col min="2574" max="2574" width="4.453125" customWidth="1"/>
    <col min="2575" max="2575" width="15.1796875" customWidth="1"/>
    <col min="2576" max="2576" width="15" bestFit="1" customWidth="1"/>
    <col min="2577" max="2577" width="14.7265625" customWidth="1"/>
    <col min="2578" max="2578" width="15" bestFit="1" customWidth="1"/>
    <col min="2581" max="2581" width="15" bestFit="1" customWidth="1"/>
    <col min="2817" max="2817" width="4.26953125" customWidth="1"/>
    <col min="2818" max="2818" width="3.54296875" customWidth="1"/>
    <col min="2819" max="2823" width="3.7265625" customWidth="1"/>
    <col min="2824" max="2824" width="3.1796875" customWidth="1"/>
    <col min="2825" max="2825" width="3.7265625" customWidth="1"/>
    <col min="2826" max="2829" width="6.81640625" customWidth="1"/>
    <col min="2830" max="2830" width="4.453125" customWidth="1"/>
    <col min="2831" max="2831" width="15.1796875" customWidth="1"/>
    <col min="2832" max="2832" width="15" bestFit="1" customWidth="1"/>
    <col min="2833" max="2833" width="14.7265625" customWidth="1"/>
    <col min="2834" max="2834" width="15" bestFit="1" customWidth="1"/>
    <col min="2837" max="2837" width="15" bestFit="1" customWidth="1"/>
    <col min="3073" max="3073" width="4.26953125" customWidth="1"/>
    <col min="3074" max="3074" width="3.54296875" customWidth="1"/>
    <col min="3075" max="3079" width="3.7265625" customWidth="1"/>
    <col min="3080" max="3080" width="3.1796875" customWidth="1"/>
    <col min="3081" max="3081" width="3.7265625" customWidth="1"/>
    <col min="3082" max="3085" width="6.81640625" customWidth="1"/>
    <col min="3086" max="3086" width="4.453125" customWidth="1"/>
    <col min="3087" max="3087" width="15.1796875" customWidth="1"/>
    <col min="3088" max="3088" width="15" bestFit="1" customWidth="1"/>
    <col min="3089" max="3089" width="14.7265625" customWidth="1"/>
    <col min="3090" max="3090" width="15" bestFit="1" customWidth="1"/>
    <col min="3093" max="3093" width="15" bestFit="1" customWidth="1"/>
    <col min="3329" max="3329" width="4.26953125" customWidth="1"/>
    <col min="3330" max="3330" width="3.54296875" customWidth="1"/>
    <col min="3331" max="3335" width="3.7265625" customWidth="1"/>
    <col min="3336" max="3336" width="3.1796875" customWidth="1"/>
    <col min="3337" max="3337" width="3.7265625" customWidth="1"/>
    <col min="3338" max="3341" width="6.81640625" customWidth="1"/>
    <col min="3342" max="3342" width="4.453125" customWidth="1"/>
    <col min="3343" max="3343" width="15.1796875" customWidth="1"/>
    <col min="3344" max="3344" width="15" bestFit="1" customWidth="1"/>
    <col min="3345" max="3345" width="14.7265625" customWidth="1"/>
    <col min="3346" max="3346" width="15" bestFit="1" customWidth="1"/>
    <col min="3349" max="3349" width="15" bestFit="1" customWidth="1"/>
    <col min="3585" max="3585" width="4.26953125" customWidth="1"/>
    <col min="3586" max="3586" width="3.54296875" customWidth="1"/>
    <col min="3587" max="3591" width="3.7265625" customWidth="1"/>
    <col min="3592" max="3592" width="3.1796875" customWidth="1"/>
    <col min="3593" max="3593" width="3.7265625" customWidth="1"/>
    <col min="3594" max="3597" width="6.81640625" customWidth="1"/>
    <col min="3598" max="3598" width="4.453125" customWidth="1"/>
    <col min="3599" max="3599" width="15.1796875" customWidth="1"/>
    <col min="3600" max="3600" width="15" bestFit="1" customWidth="1"/>
    <col min="3601" max="3601" width="14.7265625" customWidth="1"/>
    <col min="3602" max="3602" width="15" bestFit="1" customWidth="1"/>
    <col min="3605" max="3605" width="15" bestFit="1" customWidth="1"/>
    <col min="3841" max="3841" width="4.26953125" customWidth="1"/>
    <col min="3842" max="3842" width="3.54296875" customWidth="1"/>
    <col min="3843" max="3847" width="3.7265625" customWidth="1"/>
    <col min="3848" max="3848" width="3.1796875" customWidth="1"/>
    <col min="3849" max="3849" width="3.7265625" customWidth="1"/>
    <col min="3850" max="3853" width="6.81640625" customWidth="1"/>
    <col min="3854" max="3854" width="4.453125" customWidth="1"/>
    <col min="3855" max="3855" width="15.1796875" customWidth="1"/>
    <col min="3856" max="3856" width="15" bestFit="1" customWidth="1"/>
    <col min="3857" max="3857" width="14.7265625" customWidth="1"/>
    <col min="3858" max="3858" width="15" bestFit="1" customWidth="1"/>
    <col min="3861" max="3861" width="15" bestFit="1" customWidth="1"/>
    <col min="4097" max="4097" width="4.26953125" customWidth="1"/>
    <col min="4098" max="4098" width="3.54296875" customWidth="1"/>
    <col min="4099" max="4103" width="3.7265625" customWidth="1"/>
    <col min="4104" max="4104" width="3.1796875" customWidth="1"/>
    <col min="4105" max="4105" width="3.7265625" customWidth="1"/>
    <col min="4106" max="4109" width="6.81640625" customWidth="1"/>
    <col min="4110" max="4110" width="4.453125" customWidth="1"/>
    <col min="4111" max="4111" width="15.1796875" customWidth="1"/>
    <col min="4112" max="4112" width="15" bestFit="1" customWidth="1"/>
    <col min="4113" max="4113" width="14.7265625" customWidth="1"/>
    <col min="4114" max="4114" width="15" bestFit="1" customWidth="1"/>
    <col min="4117" max="4117" width="15" bestFit="1" customWidth="1"/>
    <col min="4353" max="4353" width="4.26953125" customWidth="1"/>
    <col min="4354" max="4354" width="3.54296875" customWidth="1"/>
    <col min="4355" max="4359" width="3.7265625" customWidth="1"/>
    <col min="4360" max="4360" width="3.1796875" customWidth="1"/>
    <col min="4361" max="4361" width="3.7265625" customWidth="1"/>
    <col min="4362" max="4365" width="6.81640625" customWidth="1"/>
    <col min="4366" max="4366" width="4.453125" customWidth="1"/>
    <col min="4367" max="4367" width="15.1796875" customWidth="1"/>
    <col min="4368" max="4368" width="15" bestFit="1" customWidth="1"/>
    <col min="4369" max="4369" width="14.7265625" customWidth="1"/>
    <col min="4370" max="4370" width="15" bestFit="1" customWidth="1"/>
    <col min="4373" max="4373" width="15" bestFit="1" customWidth="1"/>
    <col min="4609" max="4609" width="4.26953125" customWidth="1"/>
    <col min="4610" max="4610" width="3.54296875" customWidth="1"/>
    <col min="4611" max="4615" width="3.7265625" customWidth="1"/>
    <col min="4616" max="4616" width="3.1796875" customWidth="1"/>
    <col min="4617" max="4617" width="3.7265625" customWidth="1"/>
    <col min="4618" max="4621" width="6.81640625" customWidth="1"/>
    <col min="4622" max="4622" width="4.453125" customWidth="1"/>
    <col min="4623" max="4623" width="15.1796875" customWidth="1"/>
    <col min="4624" max="4624" width="15" bestFit="1" customWidth="1"/>
    <col min="4625" max="4625" width="14.7265625" customWidth="1"/>
    <col min="4626" max="4626" width="15" bestFit="1" customWidth="1"/>
    <col min="4629" max="4629" width="15" bestFit="1" customWidth="1"/>
    <col min="4865" max="4865" width="4.26953125" customWidth="1"/>
    <col min="4866" max="4866" width="3.54296875" customWidth="1"/>
    <col min="4867" max="4871" width="3.7265625" customWidth="1"/>
    <col min="4872" max="4872" width="3.1796875" customWidth="1"/>
    <col min="4873" max="4873" width="3.7265625" customWidth="1"/>
    <col min="4874" max="4877" width="6.81640625" customWidth="1"/>
    <col min="4878" max="4878" width="4.453125" customWidth="1"/>
    <col min="4879" max="4879" width="15.1796875" customWidth="1"/>
    <col min="4880" max="4880" width="15" bestFit="1" customWidth="1"/>
    <col min="4881" max="4881" width="14.7265625" customWidth="1"/>
    <col min="4882" max="4882" width="15" bestFit="1" customWidth="1"/>
    <col min="4885" max="4885" width="15" bestFit="1" customWidth="1"/>
    <col min="5121" max="5121" width="4.26953125" customWidth="1"/>
    <col min="5122" max="5122" width="3.54296875" customWidth="1"/>
    <col min="5123" max="5127" width="3.7265625" customWidth="1"/>
    <col min="5128" max="5128" width="3.1796875" customWidth="1"/>
    <col min="5129" max="5129" width="3.7265625" customWidth="1"/>
    <col min="5130" max="5133" width="6.81640625" customWidth="1"/>
    <col min="5134" max="5134" width="4.453125" customWidth="1"/>
    <col min="5135" max="5135" width="15.1796875" customWidth="1"/>
    <col min="5136" max="5136" width="15" bestFit="1" customWidth="1"/>
    <col min="5137" max="5137" width="14.7265625" customWidth="1"/>
    <col min="5138" max="5138" width="15" bestFit="1" customWidth="1"/>
    <col min="5141" max="5141" width="15" bestFit="1" customWidth="1"/>
    <col min="5377" max="5377" width="4.26953125" customWidth="1"/>
    <col min="5378" max="5378" width="3.54296875" customWidth="1"/>
    <col min="5379" max="5383" width="3.7265625" customWidth="1"/>
    <col min="5384" max="5384" width="3.1796875" customWidth="1"/>
    <col min="5385" max="5385" width="3.7265625" customWidth="1"/>
    <col min="5386" max="5389" width="6.81640625" customWidth="1"/>
    <col min="5390" max="5390" width="4.453125" customWidth="1"/>
    <col min="5391" max="5391" width="15.1796875" customWidth="1"/>
    <col min="5392" max="5392" width="15" bestFit="1" customWidth="1"/>
    <col min="5393" max="5393" width="14.7265625" customWidth="1"/>
    <col min="5394" max="5394" width="15" bestFit="1" customWidth="1"/>
    <col min="5397" max="5397" width="15" bestFit="1" customWidth="1"/>
    <col min="5633" max="5633" width="4.26953125" customWidth="1"/>
    <col min="5634" max="5634" width="3.54296875" customWidth="1"/>
    <col min="5635" max="5639" width="3.7265625" customWidth="1"/>
    <col min="5640" max="5640" width="3.1796875" customWidth="1"/>
    <col min="5641" max="5641" width="3.7265625" customWidth="1"/>
    <col min="5642" max="5645" width="6.81640625" customWidth="1"/>
    <col min="5646" max="5646" width="4.453125" customWidth="1"/>
    <col min="5647" max="5647" width="15.1796875" customWidth="1"/>
    <col min="5648" max="5648" width="15" bestFit="1" customWidth="1"/>
    <col min="5649" max="5649" width="14.7265625" customWidth="1"/>
    <col min="5650" max="5650" width="15" bestFit="1" customWidth="1"/>
    <col min="5653" max="5653" width="15" bestFit="1" customWidth="1"/>
    <col min="5889" max="5889" width="4.26953125" customWidth="1"/>
    <col min="5890" max="5890" width="3.54296875" customWidth="1"/>
    <col min="5891" max="5895" width="3.7265625" customWidth="1"/>
    <col min="5896" max="5896" width="3.1796875" customWidth="1"/>
    <col min="5897" max="5897" width="3.7265625" customWidth="1"/>
    <col min="5898" max="5901" width="6.81640625" customWidth="1"/>
    <col min="5902" max="5902" width="4.453125" customWidth="1"/>
    <col min="5903" max="5903" width="15.1796875" customWidth="1"/>
    <col min="5904" max="5904" width="15" bestFit="1" customWidth="1"/>
    <col min="5905" max="5905" width="14.7265625" customWidth="1"/>
    <col min="5906" max="5906" width="15" bestFit="1" customWidth="1"/>
    <col min="5909" max="5909" width="15" bestFit="1" customWidth="1"/>
    <col min="6145" max="6145" width="4.26953125" customWidth="1"/>
    <col min="6146" max="6146" width="3.54296875" customWidth="1"/>
    <col min="6147" max="6151" width="3.7265625" customWidth="1"/>
    <col min="6152" max="6152" width="3.1796875" customWidth="1"/>
    <col min="6153" max="6153" width="3.7265625" customWidth="1"/>
    <col min="6154" max="6157" width="6.81640625" customWidth="1"/>
    <col min="6158" max="6158" width="4.453125" customWidth="1"/>
    <col min="6159" max="6159" width="15.1796875" customWidth="1"/>
    <col min="6160" max="6160" width="15" bestFit="1" customWidth="1"/>
    <col min="6161" max="6161" width="14.7265625" customWidth="1"/>
    <col min="6162" max="6162" width="15" bestFit="1" customWidth="1"/>
    <col min="6165" max="6165" width="15" bestFit="1" customWidth="1"/>
    <col min="6401" max="6401" width="4.26953125" customWidth="1"/>
    <col min="6402" max="6402" width="3.54296875" customWidth="1"/>
    <col min="6403" max="6407" width="3.7265625" customWidth="1"/>
    <col min="6408" max="6408" width="3.1796875" customWidth="1"/>
    <col min="6409" max="6409" width="3.7265625" customWidth="1"/>
    <col min="6410" max="6413" width="6.81640625" customWidth="1"/>
    <col min="6414" max="6414" width="4.453125" customWidth="1"/>
    <col min="6415" max="6415" width="15.1796875" customWidth="1"/>
    <col min="6416" max="6416" width="15" bestFit="1" customWidth="1"/>
    <col min="6417" max="6417" width="14.7265625" customWidth="1"/>
    <col min="6418" max="6418" width="15" bestFit="1" customWidth="1"/>
    <col min="6421" max="6421" width="15" bestFit="1" customWidth="1"/>
    <col min="6657" max="6657" width="4.26953125" customWidth="1"/>
    <col min="6658" max="6658" width="3.54296875" customWidth="1"/>
    <col min="6659" max="6663" width="3.7265625" customWidth="1"/>
    <col min="6664" max="6664" width="3.1796875" customWidth="1"/>
    <col min="6665" max="6665" width="3.7265625" customWidth="1"/>
    <col min="6666" max="6669" width="6.81640625" customWidth="1"/>
    <col min="6670" max="6670" width="4.453125" customWidth="1"/>
    <col min="6671" max="6671" width="15.1796875" customWidth="1"/>
    <col min="6672" max="6672" width="15" bestFit="1" customWidth="1"/>
    <col min="6673" max="6673" width="14.7265625" customWidth="1"/>
    <col min="6674" max="6674" width="15" bestFit="1" customWidth="1"/>
    <col min="6677" max="6677" width="15" bestFit="1" customWidth="1"/>
    <col min="6913" max="6913" width="4.26953125" customWidth="1"/>
    <col min="6914" max="6914" width="3.54296875" customWidth="1"/>
    <col min="6915" max="6919" width="3.7265625" customWidth="1"/>
    <col min="6920" max="6920" width="3.1796875" customWidth="1"/>
    <col min="6921" max="6921" width="3.7265625" customWidth="1"/>
    <col min="6922" max="6925" width="6.81640625" customWidth="1"/>
    <col min="6926" max="6926" width="4.453125" customWidth="1"/>
    <col min="6927" max="6927" width="15.1796875" customWidth="1"/>
    <col min="6928" max="6928" width="15" bestFit="1" customWidth="1"/>
    <col min="6929" max="6929" width="14.7265625" customWidth="1"/>
    <col min="6930" max="6930" width="15" bestFit="1" customWidth="1"/>
    <col min="6933" max="6933" width="15" bestFit="1" customWidth="1"/>
    <col min="7169" max="7169" width="4.26953125" customWidth="1"/>
    <col min="7170" max="7170" width="3.54296875" customWidth="1"/>
    <col min="7171" max="7175" width="3.7265625" customWidth="1"/>
    <col min="7176" max="7176" width="3.1796875" customWidth="1"/>
    <col min="7177" max="7177" width="3.7265625" customWidth="1"/>
    <col min="7178" max="7181" width="6.81640625" customWidth="1"/>
    <col min="7182" max="7182" width="4.453125" customWidth="1"/>
    <col min="7183" max="7183" width="15.1796875" customWidth="1"/>
    <col min="7184" max="7184" width="15" bestFit="1" customWidth="1"/>
    <col min="7185" max="7185" width="14.7265625" customWidth="1"/>
    <col min="7186" max="7186" width="15" bestFit="1" customWidth="1"/>
    <col min="7189" max="7189" width="15" bestFit="1" customWidth="1"/>
    <col min="7425" max="7425" width="4.26953125" customWidth="1"/>
    <col min="7426" max="7426" width="3.54296875" customWidth="1"/>
    <col min="7427" max="7431" width="3.7265625" customWidth="1"/>
    <col min="7432" max="7432" width="3.1796875" customWidth="1"/>
    <col min="7433" max="7433" width="3.7265625" customWidth="1"/>
    <col min="7434" max="7437" width="6.81640625" customWidth="1"/>
    <col min="7438" max="7438" width="4.453125" customWidth="1"/>
    <col min="7439" max="7439" width="15.1796875" customWidth="1"/>
    <col min="7440" max="7440" width="15" bestFit="1" customWidth="1"/>
    <col min="7441" max="7441" width="14.7265625" customWidth="1"/>
    <col min="7442" max="7442" width="15" bestFit="1" customWidth="1"/>
    <col min="7445" max="7445" width="15" bestFit="1" customWidth="1"/>
    <col min="7681" max="7681" width="4.26953125" customWidth="1"/>
    <col min="7682" max="7682" width="3.54296875" customWidth="1"/>
    <col min="7683" max="7687" width="3.7265625" customWidth="1"/>
    <col min="7688" max="7688" width="3.1796875" customWidth="1"/>
    <col min="7689" max="7689" width="3.7265625" customWidth="1"/>
    <col min="7690" max="7693" width="6.81640625" customWidth="1"/>
    <col min="7694" max="7694" width="4.453125" customWidth="1"/>
    <col min="7695" max="7695" width="15.1796875" customWidth="1"/>
    <col min="7696" max="7696" width="15" bestFit="1" customWidth="1"/>
    <col min="7697" max="7697" width="14.7265625" customWidth="1"/>
    <col min="7698" max="7698" width="15" bestFit="1" customWidth="1"/>
    <col min="7701" max="7701" width="15" bestFit="1" customWidth="1"/>
    <col min="7937" max="7937" width="4.26953125" customWidth="1"/>
    <col min="7938" max="7938" width="3.54296875" customWidth="1"/>
    <col min="7939" max="7943" width="3.7265625" customWidth="1"/>
    <col min="7944" max="7944" width="3.1796875" customWidth="1"/>
    <col min="7945" max="7945" width="3.7265625" customWidth="1"/>
    <col min="7946" max="7949" width="6.81640625" customWidth="1"/>
    <col min="7950" max="7950" width="4.453125" customWidth="1"/>
    <col min="7951" max="7951" width="15.1796875" customWidth="1"/>
    <col min="7952" max="7952" width="15" bestFit="1" customWidth="1"/>
    <col min="7953" max="7953" width="14.7265625" customWidth="1"/>
    <col min="7954" max="7954" width="15" bestFit="1" customWidth="1"/>
    <col min="7957" max="7957" width="15" bestFit="1" customWidth="1"/>
    <col min="8193" max="8193" width="4.26953125" customWidth="1"/>
    <col min="8194" max="8194" width="3.54296875" customWidth="1"/>
    <col min="8195" max="8199" width="3.7265625" customWidth="1"/>
    <col min="8200" max="8200" width="3.1796875" customWidth="1"/>
    <col min="8201" max="8201" width="3.7265625" customWidth="1"/>
    <col min="8202" max="8205" width="6.81640625" customWidth="1"/>
    <col min="8206" max="8206" width="4.453125" customWidth="1"/>
    <col min="8207" max="8207" width="15.1796875" customWidth="1"/>
    <col min="8208" max="8208" width="15" bestFit="1" customWidth="1"/>
    <col min="8209" max="8209" width="14.7265625" customWidth="1"/>
    <col min="8210" max="8210" width="15" bestFit="1" customWidth="1"/>
    <col min="8213" max="8213" width="15" bestFit="1" customWidth="1"/>
    <col min="8449" max="8449" width="4.26953125" customWidth="1"/>
    <col min="8450" max="8450" width="3.54296875" customWidth="1"/>
    <col min="8451" max="8455" width="3.7265625" customWidth="1"/>
    <col min="8456" max="8456" width="3.1796875" customWidth="1"/>
    <col min="8457" max="8457" width="3.7265625" customWidth="1"/>
    <col min="8458" max="8461" width="6.81640625" customWidth="1"/>
    <col min="8462" max="8462" width="4.453125" customWidth="1"/>
    <col min="8463" max="8463" width="15.1796875" customWidth="1"/>
    <col min="8464" max="8464" width="15" bestFit="1" customWidth="1"/>
    <col min="8465" max="8465" width="14.7265625" customWidth="1"/>
    <col min="8466" max="8466" width="15" bestFit="1" customWidth="1"/>
    <col min="8469" max="8469" width="15" bestFit="1" customWidth="1"/>
    <col min="8705" max="8705" width="4.26953125" customWidth="1"/>
    <col min="8706" max="8706" width="3.54296875" customWidth="1"/>
    <col min="8707" max="8711" width="3.7265625" customWidth="1"/>
    <col min="8712" max="8712" width="3.1796875" customWidth="1"/>
    <col min="8713" max="8713" width="3.7265625" customWidth="1"/>
    <col min="8714" max="8717" width="6.81640625" customWidth="1"/>
    <col min="8718" max="8718" width="4.453125" customWidth="1"/>
    <col min="8719" max="8719" width="15.1796875" customWidth="1"/>
    <col min="8720" max="8720" width="15" bestFit="1" customWidth="1"/>
    <col min="8721" max="8721" width="14.7265625" customWidth="1"/>
    <col min="8722" max="8722" width="15" bestFit="1" customWidth="1"/>
    <col min="8725" max="8725" width="15" bestFit="1" customWidth="1"/>
    <col min="8961" max="8961" width="4.26953125" customWidth="1"/>
    <col min="8962" max="8962" width="3.54296875" customWidth="1"/>
    <col min="8963" max="8967" width="3.7265625" customWidth="1"/>
    <col min="8968" max="8968" width="3.1796875" customWidth="1"/>
    <col min="8969" max="8969" width="3.7265625" customWidth="1"/>
    <col min="8970" max="8973" width="6.81640625" customWidth="1"/>
    <col min="8974" max="8974" width="4.453125" customWidth="1"/>
    <col min="8975" max="8975" width="15.1796875" customWidth="1"/>
    <col min="8976" max="8976" width="15" bestFit="1" customWidth="1"/>
    <col min="8977" max="8977" width="14.7265625" customWidth="1"/>
    <col min="8978" max="8978" width="15" bestFit="1" customWidth="1"/>
    <col min="8981" max="8981" width="15" bestFit="1" customWidth="1"/>
    <col min="9217" max="9217" width="4.26953125" customWidth="1"/>
    <col min="9218" max="9218" width="3.54296875" customWidth="1"/>
    <col min="9219" max="9223" width="3.7265625" customWidth="1"/>
    <col min="9224" max="9224" width="3.1796875" customWidth="1"/>
    <col min="9225" max="9225" width="3.7265625" customWidth="1"/>
    <col min="9226" max="9229" width="6.81640625" customWidth="1"/>
    <col min="9230" max="9230" width="4.453125" customWidth="1"/>
    <col min="9231" max="9231" width="15.1796875" customWidth="1"/>
    <col min="9232" max="9232" width="15" bestFit="1" customWidth="1"/>
    <col min="9233" max="9233" width="14.7265625" customWidth="1"/>
    <col min="9234" max="9234" width="15" bestFit="1" customWidth="1"/>
    <col min="9237" max="9237" width="15" bestFit="1" customWidth="1"/>
    <col min="9473" max="9473" width="4.26953125" customWidth="1"/>
    <col min="9474" max="9474" width="3.54296875" customWidth="1"/>
    <col min="9475" max="9479" width="3.7265625" customWidth="1"/>
    <col min="9480" max="9480" width="3.1796875" customWidth="1"/>
    <col min="9481" max="9481" width="3.7265625" customWidth="1"/>
    <col min="9482" max="9485" width="6.81640625" customWidth="1"/>
    <col min="9486" max="9486" width="4.453125" customWidth="1"/>
    <col min="9487" max="9487" width="15.1796875" customWidth="1"/>
    <col min="9488" max="9488" width="15" bestFit="1" customWidth="1"/>
    <col min="9489" max="9489" width="14.7265625" customWidth="1"/>
    <col min="9490" max="9490" width="15" bestFit="1" customWidth="1"/>
    <col min="9493" max="9493" width="15" bestFit="1" customWidth="1"/>
    <col min="9729" max="9729" width="4.26953125" customWidth="1"/>
    <col min="9730" max="9730" width="3.54296875" customWidth="1"/>
    <col min="9731" max="9735" width="3.7265625" customWidth="1"/>
    <col min="9736" max="9736" width="3.1796875" customWidth="1"/>
    <col min="9737" max="9737" width="3.7265625" customWidth="1"/>
    <col min="9738" max="9741" width="6.81640625" customWidth="1"/>
    <col min="9742" max="9742" width="4.453125" customWidth="1"/>
    <col min="9743" max="9743" width="15.1796875" customWidth="1"/>
    <col min="9744" max="9744" width="15" bestFit="1" customWidth="1"/>
    <col min="9745" max="9745" width="14.7265625" customWidth="1"/>
    <col min="9746" max="9746" width="15" bestFit="1" customWidth="1"/>
    <col min="9749" max="9749" width="15" bestFit="1" customWidth="1"/>
    <col min="9985" max="9985" width="4.26953125" customWidth="1"/>
    <col min="9986" max="9986" width="3.54296875" customWidth="1"/>
    <col min="9987" max="9991" width="3.7265625" customWidth="1"/>
    <col min="9992" max="9992" width="3.1796875" customWidth="1"/>
    <col min="9993" max="9993" width="3.7265625" customWidth="1"/>
    <col min="9994" max="9997" width="6.81640625" customWidth="1"/>
    <col min="9998" max="9998" width="4.453125" customWidth="1"/>
    <col min="9999" max="9999" width="15.1796875" customWidth="1"/>
    <col min="10000" max="10000" width="15" bestFit="1" customWidth="1"/>
    <col min="10001" max="10001" width="14.7265625" customWidth="1"/>
    <col min="10002" max="10002" width="15" bestFit="1" customWidth="1"/>
    <col min="10005" max="10005" width="15" bestFit="1" customWidth="1"/>
    <col min="10241" max="10241" width="4.26953125" customWidth="1"/>
    <col min="10242" max="10242" width="3.54296875" customWidth="1"/>
    <col min="10243" max="10247" width="3.7265625" customWidth="1"/>
    <col min="10248" max="10248" width="3.1796875" customWidth="1"/>
    <col min="10249" max="10249" width="3.7265625" customWidth="1"/>
    <col min="10250" max="10253" width="6.81640625" customWidth="1"/>
    <col min="10254" max="10254" width="4.453125" customWidth="1"/>
    <col min="10255" max="10255" width="15.1796875" customWidth="1"/>
    <col min="10256" max="10256" width="15" bestFit="1" customWidth="1"/>
    <col min="10257" max="10257" width="14.7265625" customWidth="1"/>
    <col min="10258" max="10258" width="15" bestFit="1" customWidth="1"/>
    <col min="10261" max="10261" width="15" bestFit="1" customWidth="1"/>
    <col min="10497" max="10497" width="4.26953125" customWidth="1"/>
    <col min="10498" max="10498" width="3.54296875" customWidth="1"/>
    <col min="10499" max="10503" width="3.7265625" customWidth="1"/>
    <col min="10504" max="10504" width="3.1796875" customWidth="1"/>
    <col min="10505" max="10505" width="3.7265625" customWidth="1"/>
    <col min="10506" max="10509" width="6.81640625" customWidth="1"/>
    <col min="10510" max="10510" width="4.453125" customWidth="1"/>
    <col min="10511" max="10511" width="15.1796875" customWidth="1"/>
    <col min="10512" max="10512" width="15" bestFit="1" customWidth="1"/>
    <col min="10513" max="10513" width="14.7265625" customWidth="1"/>
    <col min="10514" max="10514" width="15" bestFit="1" customWidth="1"/>
    <col min="10517" max="10517" width="15" bestFit="1" customWidth="1"/>
    <col min="10753" max="10753" width="4.26953125" customWidth="1"/>
    <col min="10754" max="10754" width="3.54296875" customWidth="1"/>
    <col min="10755" max="10759" width="3.7265625" customWidth="1"/>
    <col min="10760" max="10760" width="3.1796875" customWidth="1"/>
    <col min="10761" max="10761" width="3.7265625" customWidth="1"/>
    <col min="10762" max="10765" width="6.81640625" customWidth="1"/>
    <col min="10766" max="10766" width="4.453125" customWidth="1"/>
    <col min="10767" max="10767" width="15.1796875" customWidth="1"/>
    <col min="10768" max="10768" width="15" bestFit="1" customWidth="1"/>
    <col min="10769" max="10769" width="14.7265625" customWidth="1"/>
    <col min="10770" max="10770" width="15" bestFit="1" customWidth="1"/>
    <col min="10773" max="10773" width="15" bestFit="1" customWidth="1"/>
    <col min="11009" max="11009" width="4.26953125" customWidth="1"/>
    <col min="11010" max="11010" width="3.54296875" customWidth="1"/>
    <col min="11011" max="11015" width="3.7265625" customWidth="1"/>
    <col min="11016" max="11016" width="3.1796875" customWidth="1"/>
    <col min="11017" max="11017" width="3.7265625" customWidth="1"/>
    <col min="11018" max="11021" width="6.81640625" customWidth="1"/>
    <col min="11022" max="11022" width="4.453125" customWidth="1"/>
    <col min="11023" max="11023" width="15.1796875" customWidth="1"/>
    <col min="11024" max="11024" width="15" bestFit="1" customWidth="1"/>
    <col min="11025" max="11025" width="14.7265625" customWidth="1"/>
    <col min="11026" max="11026" width="15" bestFit="1" customWidth="1"/>
    <col min="11029" max="11029" width="15" bestFit="1" customWidth="1"/>
    <col min="11265" max="11265" width="4.26953125" customWidth="1"/>
    <col min="11266" max="11266" width="3.54296875" customWidth="1"/>
    <col min="11267" max="11271" width="3.7265625" customWidth="1"/>
    <col min="11272" max="11272" width="3.1796875" customWidth="1"/>
    <col min="11273" max="11273" width="3.7265625" customWidth="1"/>
    <col min="11274" max="11277" width="6.81640625" customWidth="1"/>
    <col min="11278" max="11278" width="4.453125" customWidth="1"/>
    <col min="11279" max="11279" width="15.1796875" customWidth="1"/>
    <col min="11280" max="11280" width="15" bestFit="1" customWidth="1"/>
    <col min="11281" max="11281" width="14.7265625" customWidth="1"/>
    <col min="11282" max="11282" width="15" bestFit="1" customWidth="1"/>
    <col min="11285" max="11285" width="15" bestFit="1" customWidth="1"/>
    <col min="11521" max="11521" width="4.26953125" customWidth="1"/>
    <col min="11522" max="11522" width="3.54296875" customWidth="1"/>
    <col min="11523" max="11527" width="3.7265625" customWidth="1"/>
    <col min="11528" max="11528" width="3.1796875" customWidth="1"/>
    <col min="11529" max="11529" width="3.7265625" customWidth="1"/>
    <col min="11530" max="11533" width="6.81640625" customWidth="1"/>
    <col min="11534" max="11534" width="4.453125" customWidth="1"/>
    <col min="11535" max="11535" width="15.1796875" customWidth="1"/>
    <col min="11536" max="11536" width="15" bestFit="1" customWidth="1"/>
    <col min="11537" max="11537" width="14.7265625" customWidth="1"/>
    <col min="11538" max="11538" width="15" bestFit="1" customWidth="1"/>
    <col min="11541" max="11541" width="15" bestFit="1" customWidth="1"/>
    <col min="11777" max="11777" width="4.26953125" customWidth="1"/>
    <col min="11778" max="11778" width="3.54296875" customWidth="1"/>
    <col min="11779" max="11783" width="3.7265625" customWidth="1"/>
    <col min="11784" max="11784" width="3.1796875" customWidth="1"/>
    <col min="11785" max="11785" width="3.7265625" customWidth="1"/>
    <col min="11786" max="11789" width="6.81640625" customWidth="1"/>
    <col min="11790" max="11790" width="4.453125" customWidth="1"/>
    <col min="11791" max="11791" width="15.1796875" customWidth="1"/>
    <col min="11792" max="11792" width="15" bestFit="1" customWidth="1"/>
    <col min="11793" max="11793" width="14.7265625" customWidth="1"/>
    <col min="11794" max="11794" width="15" bestFit="1" customWidth="1"/>
    <col min="11797" max="11797" width="15" bestFit="1" customWidth="1"/>
    <col min="12033" max="12033" width="4.26953125" customWidth="1"/>
    <col min="12034" max="12034" width="3.54296875" customWidth="1"/>
    <col min="12035" max="12039" width="3.7265625" customWidth="1"/>
    <col min="12040" max="12040" width="3.1796875" customWidth="1"/>
    <col min="12041" max="12041" width="3.7265625" customWidth="1"/>
    <col min="12042" max="12045" width="6.81640625" customWidth="1"/>
    <col min="12046" max="12046" width="4.453125" customWidth="1"/>
    <col min="12047" max="12047" width="15.1796875" customWidth="1"/>
    <col min="12048" max="12048" width="15" bestFit="1" customWidth="1"/>
    <col min="12049" max="12049" width="14.7265625" customWidth="1"/>
    <col min="12050" max="12050" width="15" bestFit="1" customWidth="1"/>
    <col min="12053" max="12053" width="15" bestFit="1" customWidth="1"/>
    <col min="12289" max="12289" width="4.26953125" customWidth="1"/>
    <col min="12290" max="12290" width="3.54296875" customWidth="1"/>
    <col min="12291" max="12295" width="3.7265625" customWidth="1"/>
    <col min="12296" max="12296" width="3.1796875" customWidth="1"/>
    <col min="12297" max="12297" width="3.7265625" customWidth="1"/>
    <col min="12298" max="12301" width="6.81640625" customWidth="1"/>
    <col min="12302" max="12302" width="4.453125" customWidth="1"/>
    <col min="12303" max="12303" width="15.1796875" customWidth="1"/>
    <col min="12304" max="12304" width="15" bestFit="1" customWidth="1"/>
    <col min="12305" max="12305" width="14.7265625" customWidth="1"/>
    <col min="12306" max="12306" width="15" bestFit="1" customWidth="1"/>
    <col min="12309" max="12309" width="15" bestFit="1" customWidth="1"/>
    <col min="12545" max="12545" width="4.26953125" customWidth="1"/>
    <col min="12546" max="12546" width="3.54296875" customWidth="1"/>
    <col min="12547" max="12551" width="3.7265625" customWidth="1"/>
    <col min="12552" max="12552" width="3.1796875" customWidth="1"/>
    <col min="12553" max="12553" width="3.7265625" customWidth="1"/>
    <col min="12554" max="12557" width="6.81640625" customWidth="1"/>
    <col min="12558" max="12558" width="4.453125" customWidth="1"/>
    <col min="12559" max="12559" width="15.1796875" customWidth="1"/>
    <col min="12560" max="12560" width="15" bestFit="1" customWidth="1"/>
    <col min="12561" max="12561" width="14.7265625" customWidth="1"/>
    <col min="12562" max="12562" width="15" bestFit="1" customWidth="1"/>
    <col min="12565" max="12565" width="15" bestFit="1" customWidth="1"/>
    <col min="12801" max="12801" width="4.26953125" customWidth="1"/>
    <col min="12802" max="12802" width="3.54296875" customWidth="1"/>
    <col min="12803" max="12807" width="3.7265625" customWidth="1"/>
    <col min="12808" max="12808" width="3.1796875" customWidth="1"/>
    <col min="12809" max="12809" width="3.7265625" customWidth="1"/>
    <col min="12810" max="12813" width="6.81640625" customWidth="1"/>
    <col min="12814" max="12814" width="4.453125" customWidth="1"/>
    <col min="12815" max="12815" width="15.1796875" customWidth="1"/>
    <col min="12816" max="12816" width="15" bestFit="1" customWidth="1"/>
    <col min="12817" max="12817" width="14.7265625" customWidth="1"/>
    <col min="12818" max="12818" width="15" bestFit="1" customWidth="1"/>
    <col min="12821" max="12821" width="15" bestFit="1" customWidth="1"/>
    <col min="13057" max="13057" width="4.26953125" customWidth="1"/>
    <col min="13058" max="13058" width="3.54296875" customWidth="1"/>
    <col min="13059" max="13063" width="3.7265625" customWidth="1"/>
    <col min="13064" max="13064" width="3.1796875" customWidth="1"/>
    <col min="13065" max="13065" width="3.7265625" customWidth="1"/>
    <col min="13066" max="13069" width="6.81640625" customWidth="1"/>
    <col min="13070" max="13070" width="4.453125" customWidth="1"/>
    <col min="13071" max="13071" width="15.1796875" customWidth="1"/>
    <col min="13072" max="13072" width="15" bestFit="1" customWidth="1"/>
    <col min="13073" max="13073" width="14.7265625" customWidth="1"/>
    <col min="13074" max="13074" width="15" bestFit="1" customWidth="1"/>
    <col min="13077" max="13077" width="15" bestFit="1" customWidth="1"/>
    <col min="13313" max="13313" width="4.26953125" customWidth="1"/>
    <col min="13314" max="13314" width="3.54296875" customWidth="1"/>
    <col min="13315" max="13319" width="3.7265625" customWidth="1"/>
    <col min="13320" max="13320" width="3.1796875" customWidth="1"/>
    <col min="13321" max="13321" width="3.7265625" customWidth="1"/>
    <col min="13322" max="13325" width="6.81640625" customWidth="1"/>
    <col min="13326" max="13326" width="4.453125" customWidth="1"/>
    <col min="13327" max="13327" width="15.1796875" customWidth="1"/>
    <col min="13328" max="13328" width="15" bestFit="1" customWidth="1"/>
    <col min="13329" max="13329" width="14.7265625" customWidth="1"/>
    <col min="13330" max="13330" width="15" bestFit="1" customWidth="1"/>
    <col min="13333" max="13333" width="15" bestFit="1" customWidth="1"/>
    <col min="13569" max="13569" width="4.26953125" customWidth="1"/>
    <col min="13570" max="13570" width="3.54296875" customWidth="1"/>
    <col min="13571" max="13575" width="3.7265625" customWidth="1"/>
    <col min="13576" max="13576" width="3.1796875" customWidth="1"/>
    <col min="13577" max="13577" width="3.7265625" customWidth="1"/>
    <col min="13578" max="13581" width="6.81640625" customWidth="1"/>
    <col min="13582" max="13582" width="4.453125" customWidth="1"/>
    <col min="13583" max="13583" width="15.1796875" customWidth="1"/>
    <col min="13584" max="13584" width="15" bestFit="1" customWidth="1"/>
    <col min="13585" max="13585" width="14.7265625" customWidth="1"/>
    <col min="13586" max="13586" width="15" bestFit="1" customWidth="1"/>
    <col min="13589" max="13589" width="15" bestFit="1" customWidth="1"/>
    <col min="13825" max="13825" width="4.26953125" customWidth="1"/>
    <col min="13826" max="13826" width="3.54296875" customWidth="1"/>
    <col min="13827" max="13831" width="3.7265625" customWidth="1"/>
    <col min="13832" max="13832" width="3.1796875" customWidth="1"/>
    <col min="13833" max="13833" width="3.7265625" customWidth="1"/>
    <col min="13834" max="13837" width="6.81640625" customWidth="1"/>
    <col min="13838" max="13838" width="4.453125" customWidth="1"/>
    <col min="13839" max="13839" width="15.1796875" customWidth="1"/>
    <col min="13840" max="13840" width="15" bestFit="1" customWidth="1"/>
    <col min="13841" max="13841" width="14.7265625" customWidth="1"/>
    <col min="13842" max="13842" width="15" bestFit="1" customWidth="1"/>
    <col min="13845" max="13845" width="15" bestFit="1" customWidth="1"/>
    <col min="14081" max="14081" width="4.26953125" customWidth="1"/>
    <col min="14082" max="14082" width="3.54296875" customWidth="1"/>
    <col min="14083" max="14087" width="3.7265625" customWidth="1"/>
    <col min="14088" max="14088" width="3.1796875" customWidth="1"/>
    <col min="14089" max="14089" width="3.7265625" customWidth="1"/>
    <col min="14090" max="14093" width="6.81640625" customWidth="1"/>
    <col min="14094" max="14094" width="4.453125" customWidth="1"/>
    <col min="14095" max="14095" width="15.1796875" customWidth="1"/>
    <col min="14096" max="14096" width="15" bestFit="1" customWidth="1"/>
    <col min="14097" max="14097" width="14.7265625" customWidth="1"/>
    <col min="14098" max="14098" width="15" bestFit="1" customWidth="1"/>
    <col min="14101" max="14101" width="15" bestFit="1" customWidth="1"/>
    <col min="14337" max="14337" width="4.26953125" customWidth="1"/>
    <col min="14338" max="14338" width="3.54296875" customWidth="1"/>
    <col min="14339" max="14343" width="3.7265625" customWidth="1"/>
    <col min="14344" max="14344" width="3.1796875" customWidth="1"/>
    <col min="14345" max="14345" width="3.7265625" customWidth="1"/>
    <col min="14346" max="14349" width="6.81640625" customWidth="1"/>
    <col min="14350" max="14350" width="4.453125" customWidth="1"/>
    <col min="14351" max="14351" width="15.1796875" customWidth="1"/>
    <col min="14352" max="14352" width="15" bestFit="1" customWidth="1"/>
    <col min="14353" max="14353" width="14.7265625" customWidth="1"/>
    <col min="14354" max="14354" width="15" bestFit="1" customWidth="1"/>
    <col min="14357" max="14357" width="15" bestFit="1" customWidth="1"/>
    <col min="14593" max="14593" width="4.26953125" customWidth="1"/>
    <col min="14594" max="14594" width="3.54296875" customWidth="1"/>
    <col min="14595" max="14599" width="3.7265625" customWidth="1"/>
    <col min="14600" max="14600" width="3.1796875" customWidth="1"/>
    <col min="14601" max="14601" width="3.7265625" customWidth="1"/>
    <col min="14602" max="14605" width="6.81640625" customWidth="1"/>
    <col min="14606" max="14606" width="4.453125" customWidth="1"/>
    <col min="14607" max="14607" width="15.1796875" customWidth="1"/>
    <col min="14608" max="14608" width="15" bestFit="1" customWidth="1"/>
    <col min="14609" max="14609" width="14.7265625" customWidth="1"/>
    <col min="14610" max="14610" width="15" bestFit="1" customWidth="1"/>
    <col min="14613" max="14613" width="15" bestFit="1" customWidth="1"/>
    <col min="14849" max="14849" width="4.26953125" customWidth="1"/>
    <col min="14850" max="14850" width="3.54296875" customWidth="1"/>
    <col min="14851" max="14855" width="3.7265625" customWidth="1"/>
    <col min="14856" max="14856" width="3.1796875" customWidth="1"/>
    <col min="14857" max="14857" width="3.7265625" customWidth="1"/>
    <col min="14858" max="14861" width="6.81640625" customWidth="1"/>
    <col min="14862" max="14862" width="4.453125" customWidth="1"/>
    <col min="14863" max="14863" width="15.1796875" customWidth="1"/>
    <col min="14864" max="14864" width="15" bestFit="1" customWidth="1"/>
    <col min="14865" max="14865" width="14.7265625" customWidth="1"/>
    <col min="14866" max="14866" width="15" bestFit="1" customWidth="1"/>
    <col min="14869" max="14869" width="15" bestFit="1" customWidth="1"/>
    <col min="15105" max="15105" width="4.26953125" customWidth="1"/>
    <col min="15106" max="15106" width="3.54296875" customWidth="1"/>
    <col min="15107" max="15111" width="3.7265625" customWidth="1"/>
    <col min="15112" max="15112" width="3.1796875" customWidth="1"/>
    <col min="15113" max="15113" width="3.7265625" customWidth="1"/>
    <col min="15114" max="15117" width="6.81640625" customWidth="1"/>
    <col min="15118" max="15118" width="4.453125" customWidth="1"/>
    <col min="15119" max="15119" width="15.1796875" customWidth="1"/>
    <col min="15120" max="15120" width="15" bestFit="1" customWidth="1"/>
    <col min="15121" max="15121" width="14.7265625" customWidth="1"/>
    <col min="15122" max="15122" width="15" bestFit="1" customWidth="1"/>
    <col min="15125" max="15125" width="15" bestFit="1" customWidth="1"/>
    <col min="15361" max="15361" width="4.26953125" customWidth="1"/>
    <col min="15362" max="15362" width="3.54296875" customWidth="1"/>
    <col min="15363" max="15367" width="3.7265625" customWidth="1"/>
    <col min="15368" max="15368" width="3.1796875" customWidth="1"/>
    <col min="15369" max="15369" width="3.7265625" customWidth="1"/>
    <col min="15370" max="15373" width="6.81640625" customWidth="1"/>
    <col min="15374" max="15374" width="4.453125" customWidth="1"/>
    <col min="15375" max="15375" width="15.1796875" customWidth="1"/>
    <col min="15376" max="15376" width="15" bestFit="1" customWidth="1"/>
    <col min="15377" max="15377" width="14.7265625" customWidth="1"/>
    <col min="15378" max="15378" width="15" bestFit="1" customWidth="1"/>
    <col min="15381" max="15381" width="15" bestFit="1" customWidth="1"/>
    <col min="15617" max="15617" width="4.26953125" customWidth="1"/>
    <col min="15618" max="15618" width="3.54296875" customWidth="1"/>
    <col min="15619" max="15623" width="3.7265625" customWidth="1"/>
    <col min="15624" max="15624" width="3.1796875" customWidth="1"/>
    <col min="15625" max="15625" width="3.7265625" customWidth="1"/>
    <col min="15626" max="15629" width="6.81640625" customWidth="1"/>
    <col min="15630" max="15630" width="4.453125" customWidth="1"/>
    <col min="15631" max="15631" width="15.1796875" customWidth="1"/>
    <col min="15632" max="15632" width="15" bestFit="1" customWidth="1"/>
    <col min="15633" max="15633" width="14.7265625" customWidth="1"/>
    <col min="15634" max="15634" width="15" bestFit="1" customWidth="1"/>
    <col min="15637" max="15637" width="15" bestFit="1" customWidth="1"/>
    <col min="15873" max="15873" width="4.26953125" customWidth="1"/>
    <col min="15874" max="15874" width="3.54296875" customWidth="1"/>
    <col min="15875" max="15879" width="3.7265625" customWidth="1"/>
    <col min="15880" max="15880" width="3.1796875" customWidth="1"/>
    <col min="15881" max="15881" width="3.7265625" customWidth="1"/>
    <col min="15882" max="15885" width="6.81640625" customWidth="1"/>
    <col min="15886" max="15886" width="4.453125" customWidth="1"/>
    <col min="15887" max="15887" width="15.1796875" customWidth="1"/>
    <col min="15888" max="15888" width="15" bestFit="1" customWidth="1"/>
    <col min="15889" max="15889" width="14.7265625" customWidth="1"/>
    <col min="15890" max="15890" width="15" bestFit="1" customWidth="1"/>
    <col min="15893" max="15893" width="15" bestFit="1" customWidth="1"/>
    <col min="16129" max="16129" width="4.26953125" customWidth="1"/>
    <col min="16130" max="16130" width="3.54296875" customWidth="1"/>
    <col min="16131" max="16135" width="3.7265625" customWidth="1"/>
    <col min="16136" max="16136" width="3.1796875" customWidth="1"/>
    <col min="16137" max="16137" width="3.7265625" customWidth="1"/>
    <col min="16138" max="16141" width="6.81640625" customWidth="1"/>
    <col min="16142" max="16142" width="4.453125" customWidth="1"/>
    <col min="16143" max="16143" width="15.1796875" customWidth="1"/>
    <col min="16144" max="16144" width="15" bestFit="1" customWidth="1"/>
    <col min="16145" max="16145" width="14.7265625" customWidth="1"/>
    <col min="16146" max="16146" width="15" bestFit="1" customWidth="1"/>
    <col min="16149" max="16149" width="15" bestFit="1" customWidth="1"/>
  </cols>
  <sheetData>
    <row r="1" spans="1:18" ht="15.5" x14ac:dyDescent="0.35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</row>
    <row r="2" spans="1:18" ht="15.5" x14ac:dyDescent="0.35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spans="1:18" ht="15.5" x14ac:dyDescent="0.35">
      <c r="A3" s="95" t="s">
        <v>2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</row>
    <row r="4" spans="1:18" x14ac:dyDescent="0.25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pans="1:18" ht="13" thickBot="1" x14ac:dyDescent="0.3"/>
    <row r="6" spans="1:18" ht="13" thickTop="1" x14ac:dyDescent="0.25">
      <c r="A6" s="1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</row>
    <row r="7" spans="1:18" x14ac:dyDescent="0.25">
      <c r="A7" s="4" t="s">
        <v>4</v>
      </c>
      <c r="C7" s="5" t="s">
        <v>37</v>
      </c>
      <c r="R7" s="6"/>
    </row>
    <row r="8" spans="1:18" ht="13" thickBot="1" x14ac:dyDescent="0.3">
      <c r="A8" s="7" t="s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9"/>
    </row>
    <row r="9" spans="1:18" x14ac:dyDescent="0.25">
      <c r="A9" s="10" t="s">
        <v>6</v>
      </c>
      <c r="B9" s="65" t="s">
        <v>7</v>
      </c>
      <c r="I9" s="5"/>
      <c r="J9" s="5" t="s">
        <v>8</v>
      </c>
      <c r="K9" s="58" t="s">
        <v>46</v>
      </c>
      <c r="R9" s="6"/>
    </row>
    <row r="10" spans="1:18" x14ac:dyDescent="0.25">
      <c r="A10" s="10" t="s">
        <v>9</v>
      </c>
      <c r="B10" s="5" t="s">
        <v>10</v>
      </c>
      <c r="I10" s="5"/>
      <c r="J10" s="5" t="s">
        <v>8</v>
      </c>
      <c r="K10" s="58" t="s">
        <v>40</v>
      </c>
      <c r="O10" s="65" t="s">
        <v>50</v>
      </c>
      <c r="R10" s="6"/>
    </row>
    <row r="11" spans="1:18" x14ac:dyDescent="0.25">
      <c r="A11" s="10" t="s">
        <v>11</v>
      </c>
      <c r="B11" s="5" t="s">
        <v>12</v>
      </c>
      <c r="I11" s="5"/>
      <c r="J11" s="5" t="s">
        <v>8</v>
      </c>
      <c r="K11" s="58" t="s">
        <v>39</v>
      </c>
      <c r="O11" s="58" t="s">
        <v>51</v>
      </c>
      <c r="R11" s="6"/>
    </row>
    <row r="12" spans="1:18" ht="24.75" customHeight="1" x14ac:dyDescent="0.25">
      <c r="A12" s="10" t="s">
        <v>13</v>
      </c>
      <c r="B12" s="5" t="s">
        <v>14</v>
      </c>
      <c r="I12" s="5"/>
      <c r="J12" s="5" t="s">
        <v>8</v>
      </c>
      <c r="K12" s="58" t="s">
        <v>57</v>
      </c>
      <c r="O12" s="96" t="s">
        <v>58</v>
      </c>
      <c r="P12" s="97"/>
      <c r="Q12" s="97"/>
      <c r="R12" s="98"/>
    </row>
    <row r="13" spans="1:18" x14ac:dyDescent="0.25">
      <c r="A13" s="10" t="s">
        <v>15</v>
      </c>
      <c r="B13" s="5" t="s">
        <v>16</v>
      </c>
      <c r="I13" s="5"/>
      <c r="J13" s="5" t="s">
        <v>8</v>
      </c>
      <c r="K13">
        <v>2026</v>
      </c>
      <c r="R13" s="6"/>
    </row>
    <row r="14" spans="1:18" x14ac:dyDescent="0.25">
      <c r="A14" s="10" t="s">
        <v>17</v>
      </c>
      <c r="B14" s="5" t="s">
        <v>18</v>
      </c>
      <c r="I14" s="5"/>
      <c r="J14" s="5" t="s">
        <v>8</v>
      </c>
      <c r="K14" s="99">
        <f>Q23</f>
        <v>7595000</v>
      </c>
      <c r="L14" s="99"/>
      <c r="M14" s="99"/>
      <c r="R14" s="6"/>
    </row>
    <row r="15" spans="1:18" ht="13" thickBot="1" x14ac:dyDescent="0.3">
      <c r="A15" s="10"/>
      <c r="B15" s="58" t="s">
        <v>62</v>
      </c>
      <c r="R15" s="6"/>
    </row>
    <row r="16" spans="1:18" ht="13" thickBot="1" x14ac:dyDescent="0.3">
      <c r="A16" s="100" t="s">
        <v>19</v>
      </c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2"/>
    </row>
    <row r="17" spans="1:21" ht="37.5" x14ac:dyDescent="0.25">
      <c r="A17" s="11" t="s">
        <v>20</v>
      </c>
      <c r="B17" s="84" t="s">
        <v>21</v>
      </c>
      <c r="C17" s="85"/>
      <c r="D17" s="85"/>
      <c r="E17" s="85"/>
      <c r="F17" s="85"/>
      <c r="G17" s="85"/>
      <c r="H17" s="86"/>
      <c r="I17" s="87" t="s">
        <v>22</v>
      </c>
      <c r="J17" s="87"/>
      <c r="K17" s="87"/>
      <c r="L17" s="87"/>
      <c r="M17" s="87"/>
      <c r="N17" s="87"/>
      <c r="O17" s="12" t="s">
        <v>23</v>
      </c>
      <c r="P17" s="63" t="s">
        <v>24</v>
      </c>
      <c r="Q17" s="12" t="s">
        <v>25</v>
      </c>
      <c r="R17" s="13" t="s">
        <v>26</v>
      </c>
    </row>
    <row r="18" spans="1:21" ht="24.75" customHeight="1" x14ac:dyDescent="0.25">
      <c r="A18" s="14">
        <v>1</v>
      </c>
      <c r="B18" s="15"/>
      <c r="C18" s="70" t="s">
        <v>59</v>
      </c>
      <c r="D18" s="68"/>
      <c r="E18" s="69"/>
      <c r="F18" s="69"/>
      <c r="G18" s="69"/>
      <c r="H18" s="18"/>
      <c r="I18" s="88" t="s">
        <v>44</v>
      </c>
      <c r="J18" s="89"/>
      <c r="K18" s="89"/>
      <c r="L18" s="89"/>
      <c r="M18" s="89"/>
      <c r="N18" s="90"/>
      <c r="O18" s="20">
        <v>177000</v>
      </c>
      <c r="P18" s="21">
        <v>0</v>
      </c>
      <c r="Q18" s="20">
        <v>177000</v>
      </c>
      <c r="R18" s="22">
        <f>O18-P18-Q18</f>
        <v>0</v>
      </c>
    </row>
    <row r="19" spans="1:21" ht="33.75" customHeight="1" x14ac:dyDescent="0.25">
      <c r="A19" s="14">
        <v>2</v>
      </c>
      <c r="B19" s="15"/>
      <c r="C19" s="70" t="s">
        <v>60</v>
      </c>
      <c r="D19" s="68"/>
      <c r="E19" s="69"/>
      <c r="F19" s="69"/>
      <c r="G19" s="69"/>
      <c r="H19" s="18"/>
      <c r="I19" s="88" t="s">
        <v>45</v>
      </c>
      <c r="J19" s="89"/>
      <c r="K19" s="89"/>
      <c r="L19" s="89"/>
      <c r="M19" s="89"/>
      <c r="N19" s="90"/>
      <c r="O19" s="20">
        <v>368000</v>
      </c>
      <c r="P19" s="21"/>
      <c r="Q19" s="20">
        <v>368000</v>
      </c>
      <c r="R19" s="22">
        <f t="shared" ref="R19:R20" si="0">O19-P19-Q19</f>
        <v>0</v>
      </c>
    </row>
    <row r="20" spans="1:21" x14ac:dyDescent="0.25">
      <c r="A20" s="14">
        <v>3</v>
      </c>
      <c r="B20" s="15"/>
      <c r="C20" s="70" t="s">
        <v>59</v>
      </c>
      <c r="D20" s="68"/>
      <c r="E20" s="69"/>
      <c r="F20" s="69"/>
      <c r="G20" s="69"/>
      <c r="H20" s="18"/>
      <c r="I20" s="88" t="s">
        <v>42</v>
      </c>
      <c r="J20" s="89"/>
      <c r="K20" s="89"/>
      <c r="L20" s="89"/>
      <c r="M20" s="89"/>
      <c r="N20" s="90"/>
      <c r="O20" s="20">
        <v>4050000</v>
      </c>
      <c r="P20" s="21"/>
      <c r="Q20" s="20">
        <v>4050000</v>
      </c>
      <c r="R20" s="22">
        <f t="shared" si="0"/>
        <v>0</v>
      </c>
    </row>
    <row r="21" spans="1:21" x14ac:dyDescent="0.25">
      <c r="A21" s="24">
        <v>4</v>
      </c>
      <c r="B21" s="25"/>
      <c r="C21" s="70" t="s">
        <v>48</v>
      </c>
      <c r="D21" s="68"/>
      <c r="E21" s="69"/>
      <c r="F21" s="69"/>
      <c r="G21" s="69"/>
      <c r="H21" s="18"/>
      <c r="I21" s="59" t="s">
        <v>49</v>
      </c>
      <c r="J21" s="16"/>
      <c r="K21" s="16"/>
      <c r="L21" s="16"/>
      <c r="M21" s="16"/>
      <c r="N21" s="16"/>
      <c r="O21" s="20">
        <v>3000000</v>
      </c>
      <c r="P21" s="21"/>
      <c r="Q21" s="20">
        <v>3000000</v>
      </c>
      <c r="R21" s="22"/>
    </row>
    <row r="22" spans="1:21" ht="13" thickBot="1" x14ac:dyDescent="0.3">
      <c r="A22" s="31"/>
      <c r="B22" s="32"/>
      <c r="C22" s="33"/>
      <c r="D22" s="33"/>
      <c r="E22" s="33"/>
      <c r="F22" s="33"/>
      <c r="G22" s="33"/>
      <c r="H22" s="34"/>
      <c r="I22" s="35"/>
      <c r="J22" s="35"/>
      <c r="K22" s="35"/>
      <c r="L22" s="35"/>
      <c r="M22" s="35"/>
      <c r="N22" s="35"/>
      <c r="O22" s="36"/>
      <c r="P22" s="35"/>
      <c r="Q22" s="36"/>
      <c r="R22" s="37"/>
    </row>
    <row r="23" spans="1:21" ht="13.5" thickBot="1" x14ac:dyDescent="0.35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40" t="s">
        <v>27</v>
      </c>
      <c r="N23" s="39"/>
      <c r="O23" s="41">
        <f>SUM(O18:O21)</f>
        <v>7595000</v>
      </c>
      <c r="P23" s="41">
        <f>SUM(P18:P21)</f>
        <v>0</v>
      </c>
      <c r="Q23" s="41">
        <f>SUM(Q18:Q21)</f>
        <v>7595000</v>
      </c>
      <c r="R23" s="41">
        <f>SUM(R18:R21)</f>
        <v>0</v>
      </c>
      <c r="U23" s="42"/>
    </row>
    <row r="24" spans="1:21" x14ac:dyDescent="0.25">
      <c r="A24" s="91" t="s">
        <v>28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3"/>
    </row>
    <row r="25" spans="1:21" x14ac:dyDescent="0.25">
      <c r="A25" s="14" t="s">
        <v>29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43" t="s">
        <v>30</v>
      </c>
      <c r="R25" s="44">
        <v>0</v>
      </c>
    </row>
    <row r="26" spans="1:21" ht="13" thickBot="1" x14ac:dyDescent="0.3">
      <c r="A26" s="45" t="s">
        <v>31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46" t="s">
        <v>30</v>
      </c>
      <c r="R26" s="47">
        <v>0</v>
      </c>
    </row>
    <row r="27" spans="1:21" x14ac:dyDescent="0.25">
      <c r="A27" s="48" t="s">
        <v>32</v>
      </c>
      <c r="B27" s="49"/>
      <c r="C27" s="49"/>
      <c r="D27" s="49"/>
      <c r="E27" s="49"/>
      <c r="F27" s="49"/>
      <c r="G27" s="49"/>
      <c r="H27" s="49" t="s">
        <v>33</v>
      </c>
      <c r="I27" s="49"/>
      <c r="J27" s="49"/>
      <c r="K27" s="49"/>
      <c r="L27" s="78">
        <f>Q23</f>
        <v>7595000</v>
      </c>
      <c r="M27" s="79"/>
      <c r="N27" s="79"/>
      <c r="O27" s="49"/>
      <c r="P27" s="49"/>
      <c r="Q27" s="49"/>
      <c r="R27" s="50"/>
    </row>
    <row r="28" spans="1:21" x14ac:dyDescent="0.25">
      <c r="A28" s="51" t="s">
        <v>28</v>
      </c>
      <c r="H28" t="s">
        <v>33</v>
      </c>
      <c r="M28" s="80">
        <v>0</v>
      </c>
      <c r="N28" s="80"/>
      <c r="R28" s="6"/>
    </row>
    <row r="29" spans="1:21" x14ac:dyDescent="0.25">
      <c r="A29" s="51" t="s">
        <v>34</v>
      </c>
      <c r="H29" t="s">
        <v>33</v>
      </c>
      <c r="L29" s="81">
        <f>L27</f>
        <v>7595000</v>
      </c>
      <c r="M29" s="82"/>
      <c r="N29" s="82"/>
      <c r="R29" s="6"/>
    </row>
    <row r="30" spans="1:21" ht="13.5" thickBot="1" x14ac:dyDescent="0.35">
      <c r="A30" s="52" t="str">
        <f>B15</f>
        <v>Tujuh Juta Lima Ratus Lima Puluh Sembilan Ribu Rupiah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9"/>
    </row>
    <row r="31" spans="1:21" x14ac:dyDescent="0.25">
      <c r="A31" s="48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50"/>
    </row>
    <row r="32" spans="1:21" x14ac:dyDescent="0.25">
      <c r="A32" s="51"/>
      <c r="R32" s="6"/>
    </row>
    <row r="33" spans="1:18" x14ac:dyDescent="0.25">
      <c r="A33" s="51"/>
      <c r="N33" s="71"/>
      <c r="O33" s="64" t="s">
        <v>66</v>
      </c>
      <c r="P33" s="58"/>
      <c r="R33" s="6"/>
    </row>
    <row r="34" spans="1:18" x14ac:dyDescent="0.25">
      <c r="A34" s="51"/>
      <c r="B34" s="77" t="s">
        <v>36</v>
      </c>
      <c r="C34" s="77"/>
      <c r="D34" s="77"/>
      <c r="E34" s="77"/>
      <c r="F34" s="77"/>
      <c r="G34" s="77"/>
      <c r="H34" s="77"/>
      <c r="I34" s="77"/>
      <c r="R34" s="6"/>
    </row>
    <row r="35" spans="1:18" x14ac:dyDescent="0.25">
      <c r="A35" s="83" t="s">
        <v>38</v>
      </c>
      <c r="B35" s="77"/>
      <c r="C35" s="77"/>
      <c r="D35" s="77"/>
      <c r="E35" s="77"/>
      <c r="F35" s="77"/>
      <c r="G35" s="77"/>
      <c r="H35" s="77"/>
      <c r="I35" s="77"/>
      <c r="J35" s="77"/>
      <c r="O35" s="77" t="s">
        <v>7</v>
      </c>
      <c r="P35" s="77"/>
      <c r="Q35" s="77"/>
      <c r="R35" s="6"/>
    </row>
    <row r="36" spans="1:18" x14ac:dyDescent="0.25">
      <c r="A36" s="51"/>
      <c r="R36" s="6"/>
    </row>
    <row r="37" spans="1:18" x14ac:dyDescent="0.25">
      <c r="A37" s="51"/>
      <c r="R37" s="6"/>
    </row>
    <row r="38" spans="1:18" x14ac:dyDescent="0.25">
      <c r="A38" s="51"/>
      <c r="R38" s="6"/>
    </row>
    <row r="39" spans="1:18" x14ac:dyDescent="0.25">
      <c r="A39" s="51"/>
      <c r="R39" s="6"/>
    </row>
    <row r="40" spans="1:18" ht="13" x14ac:dyDescent="0.3">
      <c r="A40" s="74" t="s">
        <v>55</v>
      </c>
      <c r="B40" s="75"/>
      <c r="C40" s="75"/>
      <c r="D40" s="75"/>
      <c r="E40" s="75"/>
      <c r="F40" s="75"/>
      <c r="G40" s="75"/>
      <c r="H40" s="75"/>
      <c r="I40" s="75"/>
      <c r="J40" s="75"/>
      <c r="O40" s="75" t="str">
        <f>K9</f>
        <v>MUHLIS HADIU</v>
      </c>
      <c r="P40" s="75"/>
      <c r="Q40" s="75"/>
      <c r="R40" s="6"/>
    </row>
    <row r="41" spans="1:18" x14ac:dyDescent="0.25">
      <c r="A41" s="51"/>
      <c r="B41" s="76" t="s">
        <v>56</v>
      </c>
      <c r="C41" s="77"/>
      <c r="D41" s="77"/>
      <c r="E41" s="77"/>
      <c r="F41" s="77"/>
      <c r="G41" s="77"/>
      <c r="H41" s="77"/>
      <c r="I41" s="77"/>
      <c r="O41" s="76" t="s">
        <v>54</v>
      </c>
      <c r="P41" s="77"/>
      <c r="Q41" s="77"/>
      <c r="R41" s="6"/>
    </row>
    <row r="42" spans="1:18" ht="13" thickBot="1" x14ac:dyDescent="0.3">
      <c r="A42" s="54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6"/>
    </row>
    <row r="43" spans="1:18" ht="13" thickTop="1" x14ac:dyDescent="0.25"/>
  </sheetData>
  <mergeCells count="22">
    <mergeCell ref="A16:R16"/>
    <mergeCell ref="A1:R1"/>
    <mergeCell ref="A2:R2"/>
    <mergeCell ref="A3:R3"/>
    <mergeCell ref="O12:R12"/>
    <mergeCell ref="K14:M14"/>
    <mergeCell ref="B17:H17"/>
    <mergeCell ref="I17:N17"/>
    <mergeCell ref="I18:N18"/>
    <mergeCell ref="I19:N19"/>
    <mergeCell ref="A24:R24"/>
    <mergeCell ref="A40:J40"/>
    <mergeCell ref="O40:Q40"/>
    <mergeCell ref="B41:I41"/>
    <mergeCell ref="O41:Q41"/>
    <mergeCell ref="I20:N20"/>
    <mergeCell ref="L27:N27"/>
    <mergeCell ref="M28:N28"/>
    <mergeCell ref="L29:N29"/>
    <mergeCell ref="B34:I34"/>
    <mergeCell ref="A35:J35"/>
    <mergeCell ref="O35:Q35"/>
  </mergeCells>
  <printOptions horizontalCentered="1"/>
  <pageMargins left="0.25" right="0.05" top="1" bottom="1" header="0.5" footer="0.5"/>
  <pageSetup paperSize="5" scale="82" orientation="portrait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"/>
  <sheetViews>
    <sheetView view="pageBreakPreview" topLeftCell="A25" zoomScaleSheetLayoutView="100" workbookViewId="0">
      <selection activeCell="L35" sqref="L35:N35"/>
    </sheetView>
  </sheetViews>
  <sheetFormatPr defaultRowHeight="12.5" x14ac:dyDescent="0.25"/>
  <cols>
    <col min="1" max="1" width="3.81640625" customWidth="1"/>
    <col min="2" max="2" width="3.54296875" customWidth="1"/>
    <col min="3" max="7" width="3.7265625" customWidth="1"/>
    <col min="8" max="8" width="1.1796875" customWidth="1"/>
    <col min="9" max="9" width="3.7265625" customWidth="1"/>
    <col min="10" max="13" width="6.81640625" customWidth="1"/>
    <col min="14" max="14" width="4.54296875" customWidth="1"/>
    <col min="15" max="15" width="15.1796875" customWidth="1"/>
    <col min="16" max="16" width="12" customWidth="1"/>
    <col min="17" max="17" width="14.7265625" customWidth="1"/>
    <col min="18" max="18" width="15.1796875" customWidth="1"/>
    <col min="21" max="21" width="15" bestFit="1" customWidth="1"/>
    <col min="257" max="257" width="4.26953125" customWidth="1"/>
    <col min="258" max="258" width="3.54296875" customWidth="1"/>
    <col min="259" max="263" width="3.7265625" customWidth="1"/>
    <col min="264" max="264" width="3.1796875" customWidth="1"/>
    <col min="265" max="265" width="3.7265625" customWidth="1"/>
    <col min="266" max="269" width="6.81640625" customWidth="1"/>
    <col min="270" max="270" width="4.453125" customWidth="1"/>
    <col min="271" max="271" width="15.1796875" customWidth="1"/>
    <col min="272" max="272" width="15" bestFit="1" customWidth="1"/>
    <col min="273" max="273" width="14.7265625" customWidth="1"/>
    <col min="274" max="274" width="15" bestFit="1" customWidth="1"/>
    <col min="277" max="277" width="15" bestFit="1" customWidth="1"/>
    <col min="513" max="513" width="4.26953125" customWidth="1"/>
    <col min="514" max="514" width="3.54296875" customWidth="1"/>
    <col min="515" max="519" width="3.7265625" customWidth="1"/>
    <col min="520" max="520" width="3.1796875" customWidth="1"/>
    <col min="521" max="521" width="3.7265625" customWidth="1"/>
    <col min="522" max="525" width="6.81640625" customWidth="1"/>
    <col min="526" max="526" width="4.453125" customWidth="1"/>
    <col min="527" max="527" width="15.1796875" customWidth="1"/>
    <col min="528" max="528" width="15" bestFit="1" customWidth="1"/>
    <col min="529" max="529" width="14.7265625" customWidth="1"/>
    <col min="530" max="530" width="15" bestFit="1" customWidth="1"/>
    <col min="533" max="533" width="15" bestFit="1" customWidth="1"/>
    <col min="769" max="769" width="4.26953125" customWidth="1"/>
    <col min="770" max="770" width="3.54296875" customWidth="1"/>
    <col min="771" max="775" width="3.7265625" customWidth="1"/>
    <col min="776" max="776" width="3.1796875" customWidth="1"/>
    <col min="777" max="777" width="3.7265625" customWidth="1"/>
    <col min="778" max="781" width="6.81640625" customWidth="1"/>
    <col min="782" max="782" width="4.453125" customWidth="1"/>
    <col min="783" max="783" width="15.1796875" customWidth="1"/>
    <col min="784" max="784" width="15" bestFit="1" customWidth="1"/>
    <col min="785" max="785" width="14.7265625" customWidth="1"/>
    <col min="786" max="786" width="15" bestFit="1" customWidth="1"/>
    <col min="789" max="789" width="15" bestFit="1" customWidth="1"/>
    <col min="1025" max="1025" width="4.26953125" customWidth="1"/>
    <col min="1026" max="1026" width="3.54296875" customWidth="1"/>
    <col min="1027" max="1031" width="3.7265625" customWidth="1"/>
    <col min="1032" max="1032" width="3.1796875" customWidth="1"/>
    <col min="1033" max="1033" width="3.7265625" customWidth="1"/>
    <col min="1034" max="1037" width="6.81640625" customWidth="1"/>
    <col min="1038" max="1038" width="4.453125" customWidth="1"/>
    <col min="1039" max="1039" width="15.1796875" customWidth="1"/>
    <col min="1040" max="1040" width="15" bestFit="1" customWidth="1"/>
    <col min="1041" max="1041" width="14.7265625" customWidth="1"/>
    <col min="1042" max="1042" width="15" bestFit="1" customWidth="1"/>
    <col min="1045" max="1045" width="15" bestFit="1" customWidth="1"/>
    <col min="1281" max="1281" width="4.26953125" customWidth="1"/>
    <col min="1282" max="1282" width="3.54296875" customWidth="1"/>
    <col min="1283" max="1287" width="3.7265625" customWidth="1"/>
    <col min="1288" max="1288" width="3.1796875" customWidth="1"/>
    <col min="1289" max="1289" width="3.7265625" customWidth="1"/>
    <col min="1290" max="1293" width="6.81640625" customWidth="1"/>
    <col min="1294" max="1294" width="4.453125" customWidth="1"/>
    <col min="1295" max="1295" width="15.1796875" customWidth="1"/>
    <col min="1296" max="1296" width="15" bestFit="1" customWidth="1"/>
    <col min="1297" max="1297" width="14.7265625" customWidth="1"/>
    <col min="1298" max="1298" width="15" bestFit="1" customWidth="1"/>
    <col min="1301" max="1301" width="15" bestFit="1" customWidth="1"/>
    <col min="1537" max="1537" width="4.26953125" customWidth="1"/>
    <col min="1538" max="1538" width="3.54296875" customWidth="1"/>
    <col min="1539" max="1543" width="3.7265625" customWidth="1"/>
    <col min="1544" max="1544" width="3.1796875" customWidth="1"/>
    <col min="1545" max="1545" width="3.7265625" customWidth="1"/>
    <col min="1546" max="1549" width="6.81640625" customWidth="1"/>
    <col min="1550" max="1550" width="4.453125" customWidth="1"/>
    <col min="1551" max="1551" width="15.1796875" customWidth="1"/>
    <col min="1552" max="1552" width="15" bestFit="1" customWidth="1"/>
    <col min="1553" max="1553" width="14.7265625" customWidth="1"/>
    <col min="1554" max="1554" width="15" bestFit="1" customWidth="1"/>
    <col min="1557" max="1557" width="15" bestFit="1" customWidth="1"/>
    <col min="1793" max="1793" width="4.26953125" customWidth="1"/>
    <col min="1794" max="1794" width="3.54296875" customWidth="1"/>
    <col min="1795" max="1799" width="3.7265625" customWidth="1"/>
    <col min="1800" max="1800" width="3.1796875" customWidth="1"/>
    <col min="1801" max="1801" width="3.7265625" customWidth="1"/>
    <col min="1802" max="1805" width="6.81640625" customWidth="1"/>
    <col min="1806" max="1806" width="4.453125" customWidth="1"/>
    <col min="1807" max="1807" width="15.1796875" customWidth="1"/>
    <col min="1808" max="1808" width="15" bestFit="1" customWidth="1"/>
    <col min="1809" max="1809" width="14.7265625" customWidth="1"/>
    <col min="1810" max="1810" width="15" bestFit="1" customWidth="1"/>
    <col min="1813" max="1813" width="15" bestFit="1" customWidth="1"/>
    <col min="2049" max="2049" width="4.26953125" customWidth="1"/>
    <col min="2050" max="2050" width="3.54296875" customWidth="1"/>
    <col min="2051" max="2055" width="3.7265625" customWidth="1"/>
    <col min="2056" max="2056" width="3.1796875" customWidth="1"/>
    <col min="2057" max="2057" width="3.7265625" customWidth="1"/>
    <col min="2058" max="2061" width="6.81640625" customWidth="1"/>
    <col min="2062" max="2062" width="4.453125" customWidth="1"/>
    <col min="2063" max="2063" width="15.1796875" customWidth="1"/>
    <col min="2064" max="2064" width="15" bestFit="1" customWidth="1"/>
    <col min="2065" max="2065" width="14.7265625" customWidth="1"/>
    <col min="2066" max="2066" width="15" bestFit="1" customWidth="1"/>
    <col min="2069" max="2069" width="15" bestFit="1" customWidth="1"/>
    <col min="2305" max="2305" width="4.26953125" customWidth="1"/>
    <col min="2306" max="2306" width="3.54296875" customWidth="1"/>
    <col min="2307" max="2311" width="3.7265625" customWidth="1"/>
    <col min="2312" max="2312" width="3.1796875" customWidth="1"/>
    <col min="2313" max="2313" width="3.7265625" customWidth="1"/>
    <col min="2314" max="2317" width="6.81640625" customWidth="1"/>
    <col min="2318" max="2318" width="4.453125" customWidth="1"/>
    <col min="2319" max="2319" width="15.1796875" customWidth="1"/>
    <col min="2320" max="2320" width="15" bestFit="1" customWidth="1"/>
    <col min="2321" max="2321" width="14.7265625" customWidth="1"/>
    <col min="2322" max="2322" width="15" bestFit="1" customWidth="1"/>
    <col min="2325" max="2325" width="15" bestFit="1" customWidth="1"/>
    <col min="2561" max="2561" width="4.26953125" customWidth="1"/>
    <col min="2562" max="2562" width="3.54296875" customWidth="1"/>
    <col min="2563" max="2567" width="3.7265625" customWidth="1"/>
    <col min="2568" max="2568" width="3.1796875" customWidth="1"/>
    <col min="2569" max="2569" width="3.7265625" customWidth="1"/>
    <col min="2570" max="2573" width="6.81640625" customWidth="1"/>
    <col min="2574" max="2574" width="4.453125" customWidth="1"/>
    <col min="2575" max="2575" width="15.1796875" customWidth="1"/>
    <col min="2576" max="2576" width="15" bestFit="1" customWidth="1"/>
    <col min="2577" max="2577" width="14.7265625" customWidth="1"/>
    <col min="2578" max="2578" width="15" bestFit="1" customWidth="1"/>
    <col min="2581" max="2581" width="15" bestFit="1" customWidth="1"/>
    <col min="2817" max="2817" width="4.26953125" customWidth="1"/>
    <col min="2818" max="2818" width="3.54296875" customWidth="1"/>
    <col min="2819" max="2823" width="3.7265625" customWidth="1"/>
    <col min="2824" max="2824" width="3.1796875" customWidth="1"/>
    <col min="2825" max="2825" width="3.7265625" customWidth="1"/>
    <col min="2826" max="2829" width="6.81640625" customWidth="1"/>
    <col min="2830" max="2830" width="4.453125" customWidth="1"/>
    <col min="2831" max="2831" width="15.1796875" customWidth="1"/>
    <col min="2832" max="2832" width="15" bestFit="1" customWidth="1"/>
    <col min="2833" max="2833" width="14.7265625" customWidth="1"/>
    <col min="2834" max="2834" width="15" bestFit="1" customWidth="1"/>
    <col min="2837" max="2837" width="15" bestFit="1" customWidth="1"/>
    <col min="3073" max="3073" width="4.26953125" customWidth="1"/>
    <col min="3074" max="3074" width="3.54296875" customWidth="1"/>
    <col min="3075" max="3079" width="3.7265625" customWidth="1"/>
    <col min="3080" max="3080" width="3.1796875" customWidth="1"/>
    <col min="3081" max="3081" width="3.7265625" customWidth="1"/>
    <col min="3082" max="3085" width="6.81640625" customWidth="1"/>
    <col min="3086" max="3086" width="4.453125" customWidth="1"/>
    <col min="3087" max="3087" width="15.1796875" customWidth="1"/>
    <col min="3088" max="3088" width="15" bestFit="1" customWidth="1"/>
    <col min="3089" max="3089" width="14.7265625" customWidth="1"/>
    <col min="3090" max="3090" width="15" bestFit="1" customWidth="1"/>
    <col min="3093" max="3093" width="15" bestFit="1" customWidth="1"/>
    <col min="3329" max="3329" width="4.26953125" customWidth="1"/>
    <col min="3330" max="3330" width="3.54296875" customWidth="1"/>
    <col min="3331" max="3335" width="3.7265625" customWidth="1"/>
    <col min="3336" max="3336" width="3.1796875" customWidth="1"/>
    <col min="3337" max="3337" width="3.7265625" customWidth="1"/>
    <col min="3338" max="3341" width="6.81640625" customWidth="1"/>
    <col min="3342" max="3342" width="4.453125" customWidth="1"/>
    <col min="3343" max="3343" width="15.1796875" customWidth="1"/>
    <col min="3344" max="3344" width="15" bestFit="1" customWidth="1"/>
    <col min="3345" max="3345" width="14.7265625" customWidth="1"/>
    <col min="3346" max="3346" width="15" bestFit="1" customWidth="1"/>
    <col min="3349" max="3349" width="15" bestFit="1" customWidth="1"/>
    <col min="3585" max="3585" width="4.26953125" customWidth="1"/>
    <col min="3586" max="3586" width="3.54296875" customWidth="1"/>
    <col min="3587" max="3591" width="3.7265625" customWidth="1"/>
    <col min="3592" max="3592" width="3.1796875" customWidth="1"/>
    <col min="3593" max="3593" width="3.7265625" customWidth="1"/>
    <col min="3594" max="3597" width="6.81640625" customWidth="1"/>
    <col min="3598" max="3598" width="4.453125" customWidth="1"/>
    <col min="3599" max="3599" width="15.1796875" customWidth="1"/>
    <col min="3600" max="3600" width="15" bestFit="1" customWidth="1"/>
    <col min="3601" max="3601" width="14.7265625" customWidth="1"/>
    <col min="3602" max="3602" width="15" bestFit="1" customWidth="1"/>
    <col min="3605" max="3605" width="15" bestFit="1" customWidth="1"/>
    <col min="3841" max="3841" width="4.26953125" customWidth="1"/>
    <col min="3842" max="3842" width="3.54296875" customWidth="1"/>
    <col min="3843" max="3847" width="3.7265625" customWidth="1"/>
    <col min="3848" max="3848" width="3.1796875" customWidth="1"/>
    <col min="3849" max="3849" width="3.7265625" customWidth="1"/>
    <col min="3850" max="3853" width="6.81640625" customWidth="1"/>
    <col min="3854" max="3854" width="4.453125" customWidth="1"/>
    <col min="3855" max="3855" width="15.1796875" customWidth="1"/>
    <col min="3856" max="3856" width="15" bestFit="1" customWidth="1"/>
    <col min="3857" max="3857" width="14.7265625" customWidth="1"/>
    <col min="3858" max="3858" width="15" bestFit="1" customWidth="1"/>
    <col min="3861" max="3861" width="15" bestFit="1" customWidth="1"/>
    <col min="4097" max="4097" width="4.26953125" customWidth="1"/>
    <col min="4098" max="4098" width="3.54296875" customWidth="1"/>
    <col min="4099" max="4103" width="3.7265625" customWidth="1"/>
    <col min="4104" max="4104" width="3.1796875" customWidth="1"/>
    <col min="4105" max="4105" width="3.7265625" customWidth="1"/>
    <col min="4106" max="4109" width="6.81640625" customWidth="1"/>
    <col min="4110" max="4110" width="4.453125" customWidth="1"/>
    <col min="4111" max="4111" width="15.1796875" customWidth="1"/>
    <col min="4112" max="4112" width="15" bestFit="1" customWidth="1"/>
    <col min="4113" max="4113" width="14.7265625" customWidth="1"/>
    <col min="4114" max="4114" width="15" bestFit="1" customWidth="1"/>
    <col min="4117" max="4117" width="15" bestFit="1" customWidth="1"/>
    <col min="4353" max="4353" width="4.26953125" customWidth="1"/>
    <col min="4354" max="4354" width="3.54296875" customWidth="1"/>
    <col min="4355" max="4359" width="3.7265625" customWidth="1"/>
    <col min="4360" max="4360" width="3.1796875" customWidth="1"/>
    <col min="4361" max="4361" width="3.7265625" customWidth="1"/>
    <col min="4362" max="4365" width="6.81640625" customWidth="1"/>
    <col min="4366" max="4366" width="4.453125" customWidth="1"/>
    <col min="4367" max="4367" width="15.1796875" customWidth="1"/>
    <col min="4368" max="4368" width="15" bestFit="1" customWidth="1"/>
    <col min="4369" max="4369" width="14.7265625" customWidth="1"/>
    <col min="4370" max="4370" width="15" bestFit="1" customWidth="1"/>
    <col min="4373" max="4373" width="15" bestFit="1" customWidth="1"/>
    <col min="4609" max="4609" width="4.26953125" customWidth="1"/>
    <col min="4610" max="4610" width="3.54296875" customWidth="1"/>
    <col min="4611" max="4615" width="3.7265625" customWidth="1"/>
    <col min="4616" max="4616" width="3.1796875" customWidth="1"/>
    <col min="4617" max="4617" width="3.7265625" customWidth="1"/>
    <col min="4618" max="4621" width="6.81640625" customWidth="1"/>
    <col min="4622" max="4622" width="4.453125" customWidth="1"/>
    <col min="4623" max="4623" width="15.1796875" customWidth="1"/>
    <col min="4624" max="4624" width="15" bestFit="1" customWidth="1"/>
    <col min="4625" max="4625" width="14.7265625" customWidth="1"/>
    <col min="4626" max="4626" width="15" bestFit="1" customWidth="1"/>
    <col min="4629" max="4629" width="15" bestFit="1" customWidth="1"/>
    <col min="4865" max="4865" width="4.26953125" customWidth="1"/>
    <col min="4866" max="4866" width="3.54296875" customWidth="1"/>
    <col min="4867" max="4871" width="3.7265625" customWidth="1"/>
    <col min="4872" max="4872" width="3.1796875" customWidth="1"/>
    <col min="4873" max="4873" width="3.7265625" customWidth="1"/>
    <col min="4874" max="4877" width="6.81640625" customWidth="1"/>
    <col min="4878" max="4878" width="4.453125" customWidth="1"/>
    <col min="4879" max="4879" width="15.1796875" customWidth="1"/>
    <col min="4880" max="4880" width="15" bestFit="1" customWidth="1"/>
    <col min="4881" max="4881" width="14.7265625" customWidth="1"/>
    <col min="4882" max="4882" width="15" bestFit="1" customWidth="1"/>
    <col min="4885" max="4885" width="15" bestFit="1" customWidth="1"/>
    <col min="5121" max="5121" width="4.26953125" customWidth="1"/>
    <col min="5122" max="5122" width="3.54296875" customWidth="1"/>
    <col min="5123" max="5127" width="3.7265625" customWidth="1"/>
    <col min="5128" max="5128" width="3.1796875" customWidth="1"/>
    <col min="5129" max="5129" width="3.7265625" customWidth="1"/>
    <col min="5130" max="5133" width="6.81640625" customWidth="1"/>
    <col min="5134" max="5134" width="4.453125" customWidth="1"/>
    <col min="5135" max="5135" width="15.1796875" customWidth="1"/>
    <col min="5136" max="5136" width="15" bestFit="1" customWidth="1"/>
    <col min="5137" max="5137" width="14.7265625" customWidth="1"/>
    <col min="5138" max="5138" width="15" bestFit="1" customWidth="1"/>
    <col min="5141" max="5141" width="15" bestFit="1" customWidth="1"/>
    <col min="5377" max="5377" width="4.26953125" customWidth="1"/>
    <col min="5378" max="5378" width="3.54296875" customWidth="1"/>
    <col min="5379" max="5383" width="3.7265625" customWidth="1"/>
    <col min="5384" max="5384" width="3.1796875" customWidth="1"/>
    <col min="5385" max="5385" width="3.7265625" customWidth="1"/>
    <col min="5386" max="5389" width="6.81640625" customWidth="1"/>
    <col min="5390" max="5390" width="4.453125" customWidth="1"/>
    <col min="5391" max="5391" width="15.1796875" customWidth="1"/>
    <col min="5392" max="5392" width="15" bestFit="1" customWidth="1"/>
    <col min="5393" max="5393" width="14.7265625" customWidth="1"/>
    <col min="5394" max="5394" width="15" bestFit="1" customWidth="1"/>
    <col min="5397" max="5397" width="15" bestFit="1" customWidth="1"/>
    <col min="5633" max="5633" width="4.26953125" customWidth="1"/>
    <col min="5634" max="5634" width="3.54296875" customWidth="1"/>
    <col min="5635" max="5639" width="3.7265625" customWidth="1"/>
    <col min="5640" max="5640" width="3.1796875" customWidth="1"/>
    <col min="5641" max="5641" width="3.7265625" customWidth="1"/>
    <col min="5642" max="5645" width="6.81640625" customWidth="1"/>
    <col min="5646" max="5646" width="4.453125" customWidth="1"/>
    <col min="5647" max="5647" width="15.1796875" customWidth="1"/>
    <col min="5648" max="5648" width="15" bestFit="1" customWidth="1"/>
    <col min="5649" max="5649" width="14.7265625" customWidth="1"/>
    <col min="5650" max="5650" width="15" bestFit="1" customWidth="1"/>
    <col min="5653" max="5653" width="15" bestFit="1" customWidth="1"/>
    <col min="5889" max="5889" width="4.26953125" customWidth="1"/>
    <col min="5890" max="5890" width="3.54296875" customWidth="1"/>
    <col min="5891" max="5895" width="3.7265625" customWidth="1"/>
    <col min="5896" max="5896" width="3.1796875" customWidth="1"/>
    <col min="5897" max="5897" width="3.7265625" customWidth="1"/>
    <col min="5898" max="5901" width="6.81640625" customWidth="1"/>
    <col min="5902" max="5902" width="4.453125" customWidth="1"/>
    <col min="5903" max="5903" width="15.1796875" customWidth="1"/>
    <col min="5904" max="5904" width="15" bestFit="1" customWidth="1"/>
    <col min="5905" max="5905" width="14.7265625" customWidth="1"/>
    <col min="5906" max="5906" width="15" bestFit="1" customWidth="1"/>
    <col min="5909" max="5909" width="15" bestFit="1" customWidth="1"/>
    <col min="6145" max="6145" width="4.26953125" customWidth="1"/>
    <col min="6146" max="6146" width="3.54296875" customWidth="1"/>
    <col min="6147" max="6151" width="3.7265625" customWidth="1"/>
    <col min="6152" max="6152" width="3.1796875" customWidth="1"/>
    <col min="6153" max="6153" width="3.7265625" customWidth="1"/>
    <col min="6154" max="6157" width="6.81640625" customWidth="1"/>
    <col min="6158" max="6158" width="4.453125" customWidth="1"/>
    <col min="6159" max="6159" width="15.1796875" customWidth="1"/>
    <col min="6160" max="6160" width="15" bestFit="1" customWidth="1"/>
    <col min="6161" max="6161" width="14.7265625" customWidth="1"/>
    <col min="6162" max="6162" width="15" bestFit="1" customWidth="1"/>
    <col min="6165" max="6165" width="15" bestFit="1" customWidth="1"/>
    <col min="6401" max="6401" width="4.26953125" customWidth="1"/>
    <col min="6402" max="6402" width="3.54296875" customWidth="1"/>
    <col min="6403" max="6407" width="3.7265625" customWidth="1"/>
    <col min="6408" max="6408" width="3.1796875" customWidth="1"/>
    <col min="6409" max="6409" width="3.7265625" customWidth="1"/>
    <col min="6410" max="6413" width="6.81640625" customWidth="1"/>
    <col min="6414" max="6414" width="4.453125" customWidth="1"/>
    <col min="6415" max="6415" width="15.1796875" customWidth="1"/>
    <col min="6416" max="6416" width="15" bestFit="1" customWidth="1"/>
    <col min="6417" max="6417" width="14.7265625" customWidth="1"/>
    <col min="6418" max="6418" width="15" bestFit="1" customWidth="1"/>
    <col min="6421" max="6421" width="15" bestFit="1" customWidth="1"/>
    <col min="6657" max="6657" width="4.26953125" customWidth="1"/>
    <col min="6658" max="6658" width="3.54296875" customWidth="1"/>
    <col min="6659" max="6663" width="3.7265625" customWidth="1"/>
    <col min="6664" max="6664" width="3.1796875" customWidth="1"/>
    <col min="6665" max="6665" width="3.7265625" customWidth="1"/>
    <col min="6666" max="6669" width="6.81640625" customWidth="1"/>
    <col min="6670" max="6670" width="4.453125" customWidth="1"/>
    <col min="6671" max="6671" width="15.1796875" customWidth="1"/>
    <col min="6672" max="6672" width="15" bestFit="1" customWidth="1"/>
    <col min="6673" max="6673" width="14.7265625" customWidth="1"/>
    <col min="6674" max="6674" width="15" bestFit="1" customWidth="1"/>
    <col min="6677" max="6677" width="15" bestFit="1" customWidth="1"/>
    <col min="6913" max="6913" width="4.26953125" customWidth="1"/>
    <col min="6914" max="6914" width="3.54296875" customWidth="1"/>
    <col min="6915" max="6919" width="3.7265625" customWidth="1"/>
    <col min="6920" max="6920" width="3.1796875" customWidth="1"/>
    <col min="6921" max="6921" width="3.7265625" customWidth="1"/>
    <col min="6922" max="6925" width="6.81640625" customWidth="1"/>
    <col min="6926" max="6926" width="4.453125" customWidth="1"/>
    <col min="6927" max="6927" width="15.1796875" customWidth="1"/>
    <col min="6928" max="6928" width="15" bestFit="1" customWidth="1"/>
    <col min="6929" max="6929" width="14.7265625" customWidth="1"/>
    <col min="6930" max="6930" width="15" bestFit="1" customWidth="1"/>
    <col min="6933" max="6933" width="15" bestFit="1" customWidth="1"/>
    <col min="7169" max="7169" width="4.26953125" customWidth="1"/>
    <col min="7170" max="7170" width="3.54296875" customWidth="1"/>
    <col min="7171" max="7175" width="3.7265625" customWidth="1"/>
    <col min="7176" max="7176" width="3.1796875" customWidth="1"/>
    <col min="7177" max="7177" width="3.7265625" customWidth="1"/>
    <col min="7178" max="7181" width="6.81640625" customWidth="1"/>
    <col min="7182" max="7182" width="4.453125" customWidth="1"/>
    <col min="7183" max="7183" width="15.1796875" customWidth="1"/>
    <col min="7184" max="7184" width="15" bestFit="1" customWidth="1"/>
    <col min="7185" max="7185" width="14.7265625" customWidth="1"/>
    <col min="7186" max="7186" width="15" bestFit="1" customWidth="1"/>
    <col min="7189" max="7189" width="15" bestFit="1" customWidth="1"/>
    <col min="7425" max="7425" width="4.26953125" customWidth="1"/>
    <col min="7426" max="7426" width="3.54296875" customWidth="1"/>
    <col min="7427" max="7431" width="3.7265625" customWidth="1"/>
    <col min="7432" max="7432" width="3.1796875" customWidth="1"/>
    <col min="7433" max="7433" width="3.7265625" customWidth="1"/>
    <col min="7434" max="7437" width="6.81640625" customWidth="1"/>
    <col min="7438" max="7438" width="4.453125" customWidth="1"/>
    <col min="7439" max="7439" width="15.1796875" customWidth="1"/>
    <col min="7440" max="7440" width="15" bestFit="1" customWidth="1"/>
    <col min="7441" max="7441" width="14.7265625" customWidth="1"/>
    <col min="7442" max="7442" width="15" bestFit="1" customWidth="1"/>
    <col min="7445" max="7445" width="15" bestFit="1" customWidth="1"/>
    <col min="7681" max="7681" width="4.26953125" customWidth="1"/>
    <col min="7682" max="7682" width="3.54296875" customWidth="1"/>
    <col min="7683" max="7687" width="3.7265625" customWidth="1"/>
    <col min="7688" max="7688" width="3.1796875" customWidth="1"/>
    <col min="7689" max="7689" width="3.7265625" customWidth="1"/>
    <col min="7690" max="7693" width="6.81640625" customWidth="1"/>
    <col min="7694" max="7694" width="4.453125" customWidth="1"/>
    <col min="7695" max="7695" width="15.1796875" customWidth="1"/>
    <col min="7696" max="7696" width="15" bestFit="1" customWidth="1"/>
    <col min="7697" max="7697" width="14.7265625" customWidth="1"/>
    <col min="7698" max="7698" width="15" bestFit="1" customWidth="1"/>
    <col min="7701" max="7701" width="15" bestFit="1" customWidth="1"/>
    <col min="7937" max="7937" width="4.26953125" customWidth="1"/>
    <col min="7938" max="7938" width="3.54296875" customWidth="1"/>
    <col min="7939" max="7943" width="3.7265625" customWidth="1"/>
    <col min="7944" max="7944" width="3.1796875" customWidth="1"/>
    <col min="7945" max="7945" width="3.7265625" customWidth="1"/>
    <col min="7946" max="7949" width="6.81640625" customWidth="1"/>
    <col min="7950" max="7950" width="4.453125" customWidth="1"/>
    <col min="7951" max="7951" width="15.1796875" customWidth="1"/>
    <col min="7952" max="7952" width="15" bestFit="1" customWidth="1"/>
    <col min="7953" max="7953" width="14.7265625" customWidth="1"/>
    <col min="7954" max="7954" width="15" bestFit="1" customWidth="1"/>
    <col min="7957" max="7957" width="15" bestFit="1" customWidth="1"/>
    <col min="8193" max="8193" width="4.26953125" customWidth="1"/>
    <col min="8194" max="8194" width="3.54296875" customWidth="1"/>
    <col min="8195" max="8199" width="3.7265625" customWidth="1"/>
    <col min="8200" max="8200" width="3.1796875" customWidth="1"/>
    <col min="8201" max="8201" width="3.7265625" customWidth="1"/>
    <col min="8202" max="8205" width="6.81640625" customWidth="1"/>
    <col min="8206" max="8206" width="4.453125" customWidth="1"/>
    <col min="8207" max="8207" width="15.1796875" customWidth="1"/>
    <col min="8208" max="8208" width="15" bestFit="1" customWidth="1"/>
    <col min="8209" max="8209" width="14.7265625" customWidth="1"/>
    <col min="8210" max="8210" width="15" bestFit="1" customWidth="1"/>
    <col min="8213" max="8213" width="15" bestFit="1" customWidth="1"/>
    <col min="8449" max="8449" width="4.26953125" customWidth="1"/>
    <col min="8450" max="8450" width="3.54296875" customWidth="1"/>
    <col min="8451" max="8455" width="3.7265625" customWidth="1"/>
    <col min="8456" max="8456" width="3.1796875" customWidth="1"/>
    <col min="8457" max="8457" width="3.7265625" customWidth="1"/>
    <col min="8458" max="8461" width="6.81640625" customWidth="1"/>
    <col min="8462" max="8462" width="4.453125" customWidth="1"/>
    <col min="8463" max="8463" width="15.1796875" customWidth="1"/>
    <col min="8464" max="8464" width="15" bestFit="1" customWidth="1"/>
    <col min="8465" max="8465" width="14.7265625" customWidth="1"/>
    <col min="8466" max="8466" width="15" bestFit="1" customWidth="1"/>
    <col min="8469" max="8469" width="15" bestFit="1" customWidth="1"/>
    <col min="8705" max="8705" width="4.26953125" customWidth="1"/>
    <col min="8706" max="8706" width="3.54296875" customWidth="1"/>
    <col min="8707" max="8711" width="3.7265625" customWidth="1"/>
    <col min="8712" max="8712" width="3.1796875" customWidth="1"/>
    <col min="8713" max="8713" width="3.7265625" customWidth="1"/>
    <col min="8714" max="8717" width="6.81640625" customWidth="1"/>
    <col min="8718" max="8718" width="4.453125" customWidth="1"/>
    <col min="8719" max="8719" width="15.1796875" customWidth="1"/>
    <col min="8720" max="8720" width="15" bestFit="1" customWidth="1"/>
    <col min="8721" max="8721" width="14.7265625" customWidth="1"/>
    <col min="8722" max="8722" width="15" bestFit="1" customWidth="1"/>
    <col min="8725" max="8725" width="15" bestFit="1" customWidth="1"/>
    <col min="8961" max="8961" width="4.26953125" customWidth="1"/>
    <col min="8962" max="8962" width="3.54296875" customWidth="1"/>
    <col min="8963" max="8967" width="3.7265625" customWidth="1"/>
    <col min="8968" max="8968" width="3.1796875" customWidth="1"/>
    <col min="8969" max="8969" width="3.7265625" customWidth="1"/>
    <col min="8970" max="8973" width="6.81640625" customWidth="1"/>
    <col min="8974" max="8974" width="4.453125" customWidth="1"/>
    <col min="8975" max="8975" width="15.1796875" customWidth="1"/>
    <col min="8976" max="8976" width="15" bestFit="1" customWidth="1"/>
    <col min="8977" max="8977" width="14.7265625" customWidth="1"/>
    <col min="8978" max="8978" width="15" bestFit="1" customWidth="1"/>
    <col min="8981" max="8981" width="15" bestFit="1" customWidth="1"/>
    <col min="9217" max="9217" width="4.26953125" customWidth="1"/>
    <col min="9218" max="9218" width="3.54296875" customWidth="1"/>
    <col min="9219" max="9223" width="3.7265625" customWidth="1"/>
    <col min="9224" max="9224" width="3.1796875" customWidth="1"/>
    <col min="9225" max="9225" width="3.7265625" customWidth="1"/>
    <col min="9226" max="9229" width="6.81640625" customWidth="1"/>
    <col min="9230" max="9230" width="4.453125" customWidth="1"/>
    <col min="9231" max="9231" width="15.1796875" customWidth="1"/>
    <col min="9232" max="9232" width="15" bestFit="1" customWidth="1"/>
    <col min="9233" max="9233" width="14.7265625" customWidth="1"/>
    <col min="9234" max="9234" width="15" bestFit="1" customWidth="1"/>
    <col min="9237" max="9237" width="15" bestFit="1" customWidth="1"/>
    <col min="9473" max="9473" width="4.26953125" customWidth="1"/>
    <col min="9474" max="9474" width="3.54296875" customWidth="1"/>
    <col min="9475" max="9479" width="3.7265625" customWidth="1"/>
    <col min="9480" max="9480" width="3.1796875" customWidth="1"/>
    <col min="9481" max="9481" width="3.7265625" customWidth="1"/>
    <col min="9482" max="9485" width="6.81640625" customWidth="1"/>
    <col min="9486" max="9486" width="4.453125" customWidth="1"/>
    <col min="9487" max="9487" width="15.1796875" customWidth="1"/>
    <col min="9488" max="9488" width="15" bestFit="1" customWidth="1"/>
    <col min="9489" max="9489" width="14.7265625" customWidth="1"/>
    <col min="9490" max="9490" width="15" bestFit="1" customWidth="1"/>
    <col min="9493" max="9493" width="15" bestFit="1" customWidth="1"/>
    <col min="9729" max="9729" width="4.26953125" customWidth="1"/>
    <col min="9730" max="9730" width="3.54296875" customWidth="1"/>
    <col min="9731" max="9735" width="3.7265625" customWidth="1"/>
    <col min="9736" max="9736" width="3.1796875" customWidth="1"/>
    <col min="9737" max="9737" width="3.7265625" customWidth="1"/>
    <col min="9738" max="9741" width="6.81640625" customWidth="1"/>
    <col min="9742" max="9742" width="4.453125" customWidth="1"/>
    <col min="9743" max="9743" width="15.1796875" customWidth="1"/>
    <col min="9744" max="9744" width="15" bestFit="1" customWidth="1"/>
    <col min="9745" max="9745" width="14.7265625" customWidth="1"/>
    <col min="9746" max="9746" width="15" bestFit="1" customWidth="1"/>
    <col min="9749" max="9749" width="15" bestFit="1" customWidth="1"/>
    <col min="9985" max="9985" width="4.26953125" customWidth="1"/>
    <col min="9986" max="9986" width="3.54296875" customWidth="1"/>
    <col min="9987" max="9991" width="3.7265625" customWidth="1"/>
    <col min="9992" max="9992" width="3.1796875" customWidth="1"/>
    <col min="9993" max="9993" width="3.7265625" customWidth="1"/>
    <col min="9994" max="9997" width="6.81640625" customWidth="1"/>
    <col min="9998" max="9998" width="4.453125" customWidth="1"/>
    <col min="9999" max="9999" width="15.1796875" customWidth="1"/>
    <col min="10000" max="10000" width="15" bestFit="1" customWidth="1"/>
    <col min="10001" max="10001" width="14.7265625" customWidth="1"/>
    <col min="10002" max="10002" width="15" bestFit="1" customWidth="1"/>
    <col min="10005" max="10005" width="15" bestFit="1" customWidth="1"/>
    <col min="10241" max="10241" width="4.26953125" customWidth="1"/>
    <col min="10242" max="10242" width="3.54296875" customWidth="1"/>
    <col min="10243" max="10247" width="3.7265625" customWidth="1"/>
    <col min="10248" max="10248" width="3.1796875" customWidth="1"/>
    <col min="10249" max="10249" width="3.7265625" customWidth="1"/>
    <col min="10250" max="10253" width="6.81640625" customWidth="1"/>
    <col min="10254" max="10254" width="4.453125" customWidth="1"/>
    <col min="10255" max="10255" width="15.1796875" customWidth="1"/>
    <col min="10256" max="10256" width="15" bestFit="1" customWidth="1"/>
    <col min="10257" max="10257" width="14.7265625" customWidth="1"/>
    <col min="10258" max="10258" width="15" bestFit="1" customWidth="1"/>
    <col min="10261" max="10261" width="15" bestFit="1" customWidth="1"/>
    <col min="10497" max="10497" width="4.26953125" customWidth="1"/>
    <col min="10498" max="10498" width="3.54296875" customWidth="1"/>
    <col min="10499" max="10503" width="3.7265625" customWidth="1"/>
    <col min="10504" max="10504" width="3.1796875" customWidth="1"/>
    <col min="10505" max="10505" width="3.7265625" customWidth="1"/>
    <col min="10506" max="10509" width="6.81640625" customWidth="1"/>
    <col min="10510" max="10510" width="4.453125" customWidth="1"/>
    <col min="10511" max="10511" width="15.1796875" customWidth="1"/>
    <col min="10512" max="10512" width="15" bestFit="1" customWidth="1"/>
    <col min="10513" max="10513" width="14.7265625" customWidth="1"/>
    <col min="10514" max="10514" width="15" bestFit="1" customWidth="1"/>
    <col min="10517" max="10517" width="15" bestFit="1" customWidth="1"/>
    <col min="10753" max="10753" width="4.26953125" customWidth="1"/>
    <col min="10754" max="10754" width="3.54296875" customWidth="1"/>
    <col min="10755" max="10759" width="3.7265625" customWidth="1"/>
    <col min="10760" max="10760" width="3.1796875" customWidth="1"/>
    <col min="10761" max="10761" width="3.7265625" customWidth="1"/>
    <col min="10762" max="10765" width="6.81640625" customWidth="1"/>
    <col min="10766" max="10766" width="4.453125" customWidth="1"/>
    <col min="10767" max="10767" width="15.1796875" customWidth="1"/>
    <col min="10768" max="10768" width="15" bestFit="1" customWidth="1"/>
    <col min="10769" max="10769" width="14.7265625" customWidth="1"/>
    <col min="10770" max="10770" width="15" bestFit="1" customWidth="1"/>
    <col min="10773" max="10773" width="15" bestFit="1" customWidth="1"/>
    <col min="11009" max="11009" width="4.26953125" customWidth="1"/>
    <col min="11010" max="11010" width="3.54296875" customWidth="1"/>
    <col min="11011" max="11015" width="3.7265625" customWidth="1"/>
    <col min="11016" max="11016" width="3.1796875" customWidth="1"/>
    <col min="11017" max="11017" width="3.7265625" customWidth="1"/>
    <col min="11018" max="11021" width="6.81640625" customWidth="1"/>
    <col min="11022" max="11022" width="4.453125" customWidth="1"/>
    <col min="11023" max="11023" width="15.1796875" customWidth="1"/>
    <col min="11024" max="11024" width="15" bestFit="1" customWidth="1"/>
    <col min="11025" max="11025" width="14.7265625" customWidth="1"/>
    <col min="11026" max="11026" width="15" bestFit="1" customWidth="1"/>
    <col min="11029" max="11029" width="15" bestFit="1" customWidth="1"/>
    <col min="11265" max="11265" width="4.26953125" customWidth="1"/>
    <col min="11266" max="11266" width="3.54296875" customWidth="1"/>
    <col min="11267" max="11271" width="3.7265625" customWidth="1"/>
    <col min="11272" max="11272" width="3.1796875" customWidth="1"/>
    <col min="11273" max="11273" width="3.7265625" customWidth="1"/>
    <col min="11274" max="11277" width="6.81640625" customWidth="1"/>
    <col min="11278" max="11278" width="4.453125" customWidth="1"/>
    <col min="11279" max="11279" width="15.1796875" customWidth="1"/>
    <col min="11280" max="11280" width="15" bestFit="1" customWidth="1"/>
    <col min="11281" max="11281" width="14.7265625" customWidth="1"/>
    <col min="11282" max="11282" width="15" bestFit="1" customWidth="1"/>
    <col min="11285" max="11285" width="15" bestFit="1" customWidth="1"/>
    <col min="11521" max="11521" width="4.26953125" customWidth="1"/>
    <col min="11522" max="11522" width="3.54296875" customWidth="1"/>
    <col min="11523" max="11527" width="3.7265625" customWidth="1"/>
    <col min="11528" max="11528" width="3.1796875" customWidth="1"/>
    <col min="11529" max="11529" width="3.7265625" customWidth="1"/>
    <col min="11530" max="11533" width="6.81640625" customWidth="1"/>
    <col min="11534" max="11534" width="4.453125" customWidth="1"/>
    <col min="11535" max="11535" width="15.1796875" customWidth="1"/>
    <col min="11536" max="11536" width="15" bestFit="1" customWidth="1"/>
    <col min="11537" max="11537" width="14.7265625" customWidth="1"/>
    <col min="11538" max="11538" width="15" bestFit="1" customWidth="1"/>
    <col min="11541" max="11541" width="15" bestFit="1" customWidth="1"/>
    <col min="11777" max="11777" width="4.26953125" customWidth="1"/>
    <col min="11778" max="11778" width="3.54296875" customWidth="1"/>
    <col min="11779" max="11783" width="3.7265625" customWidth="1"/>
    <col min="11784" max="11784" width="3.1796875" customWidth="1"/>
    <col min="11785" max="11785" width="3.7265625" customWidth="1"/>
    <col min="11786" max="11789" width="6.81640625" customWidth="1"/>
    <col min="11790" max="11790" width="4.453125" customWidth="1"/>
    <col min="11791" max="11791" width="15.1796875" customWidth="1"/>
    <col min="11792" max="11792" width="15" bestFit="1" customWidth="1"/>
    <col min="11793" max="11793" width="14.7265625" customWidth="1"/>
    <col min="11794" max="11794" width="15" bestFit="1" customWidth="1"/>
    <col min="11797" max="11797" width="15" bestFit="1" customWidth="1"/>
    <col min="12033" max="12033" width="4.26953125" customWidth="1"/>
    <col min="12034" max="12034" width="3.54296875" customWidth="1"/>
    <col min="12035" max="12039" width="3.7265625" customWidth="1"/>
    <col min="12040" max="12040" width="3.1796875" customWidth="1"/>
    <col min="12041" max="12041" width="3.7265625" customWidth="1"/>
    <col min="12042" max="12045" width="6.81640625" customWidth="1"/>
    <col min="12046" max="12046" width="4.453125" customWidth="1"/>
    <col min="12047" max="12047" width="15.1796875" customWidth="1"/>
    <col min="12048" max="12048" width="15" bestFit="1" customWidth="1"/>
    <col min="12049" max="12049" width="14.7265625" customWidth="1"/>
    <col min="12050" max="12050" width="15" bestFit="1" customWidth="1"/>
    <col min="12053" max="12053" width="15" bestFit="1" customWidth="1"/>
    <col min="12289" max="12289" width="4.26953125" customWidth="1"/>
    <col min="12290" max="12290" width="3.54296875" customWidth="1"/>
    <col min="12291" max="12295" width="3.7265625" customWidth="1"/>
    <col min="12296" max="12296" width="3.1796875" customWidth="1"/>
    <col min="12297" max="12297" width="3.7265625" customWidth="1"/>
    <col min="12298" max="12301" width="6.81640625" customWidth="1"/>
    <col min="12302" max="12302" width="4.453125" customWidth="1"/>
    <col min="12303" max="12303" width="15.1796875" customWidth="1"/>
    <col min="12304" max="12304" width="15" bestFit="1" customWidth="1"/>
    <col min="12305" max="12305" width="14.7265625" customWidth="1"/>
    <col min="12306" max="12306" width="15" bestFit="1" customWidth="1"/>
    <col min="12309" max="12309" width="15" bestFit="1" customWidth="1"/>
    <col min="12545" max="12545" width="4.26953125" customWidth="1"/>
    <col min="12546" max="12546" width="3.54296875" customWidth="1"/>
    <col min="12547" max="12551" width="3.7265625" customWidth="1"/>
    <col min="12552" max="12552" width="3.1796875" customWidth="1"/>
    <col min="12553" max="12553" width="3.7265625" customWidth="1"/>
    <col min="12554" max="12557" width="6.81640625" customWidth="1"/>
    <col min="12558" max="12558" width="4.453125" customWidth="1"/>
    <col min="12559" max="12559" width="15.1796875" customWidth="1"/>
    <col min="12560" max="12560" width="15" bestFit="1" customWidth="1"/>
    <col min="12561" max="12561" width="14.7265625" customWidth="1"/>
    <col min="12562" max="12562" width="15" bestFit="1" customWidth="1"/>
    <col min="12565" max="12565" width="15" bestFit="1" customWidth="1"/>
    <col min="12801" max="12801" width="4.26953125" customWidth="1"/>
    <col min="12802" max="12802" width="3.54296875" customWidth="1"/>
    <col min="12803" max="12807" width="3.7265625" customWidth="1"/>
    <col min="12808" max="12808" width="3.1796875" customWidth="1"/>
    <col min="12809" max="12809" width="3.7265625" customWidth="1"/>
    <col min="12810" max="12813" width="6.81640625" customWidth="1"/>
    <col min="12814" max="12814" width="4.453125" customWidth="1"/>
    <col min="12815" max="12815" width="15.1796875" customWidth="1"/>
    <col min="12816" max="12816" width="15" bestFit="1" customWidth="1"/>
    <col min="12817" max="12817" width="14.7265625" customWidth="1"/>
    <col min="12818" max="12818" width="15" bestFit="1" customWidth="1"/>
    <col min="12821" max="12821" width="15" bestFit="1" customWidth="1"/>
    <col min="13057" max="13057" width="4.26953125" customWidth="1"/>
    <col min="13058" max="13058" width="3.54296875" customWidth="1"/>
    <col min="13059" max="13063" width="3.7265625" customWidth="1"/>
    <col min="13064" max="13064" width="3.1796875" customWidth="1"/>
    <col min="13065" max="13065" width="3.7265625" customWidth="1"/>
    <col min="13066" max="13069" width="6.81640625" customWidth="1"/>
    <col min="13070" max="13070" width="4.453125" customWidth="1"/>
    <col min="13071" max="13071" width="15.1796875" customWidth="1"/>
    <col min="13072" max="13072" width="15" bestFit="1" customWidth="1"/>
    <col min="13073" max="13073" width="14.7265625" customWidth="1"/>
    <col min="13074" max="13074" width="15" bestFit="1" customWidth="1"/>
    <col min="13077" max="13077" width="15" bestFit="1" customWidth="1"/>
    <col min="13313" max="13313" width="4.26953125" customWidth="1"/>
    <col min="13314" max="13314" width="3.54296875" customWidth="1"/>
    <col min="13315" max="13319" width="3.7265625" customWidth="1"/>
    <col min="13320" max="13320" width="3.1796875" customWidth="1"/>
    <col min="13321" max="13321" width="3.7265625" customWidth="1"/>
    <col min="13322" max="13325" width="6.81640625" customWidth="1"/>
    <col min="13326" max="13326" width="4.453125" customWidth="1"/>
    <col min="13327" max="13327" width="15.1796875" customWidth="1"/>
    <col min="13328" max="13328" width="15" bestFit="1" customWidth="1"/>
    <col min="13329" max="13329" width="14.7265625" customWidth="1"/>
    <col min="13330" max="13330" width="15" bestFit="1" customWidth="1"/>
    <col min="13333" max="13333" width="15" bestFit="1" customWidth="1"/>
    <col min="13569" max="13569" width="4.26953125" customWidth="1"/>
    <col min="13570" max="13570" width="3.54296875" customWidth="1"/>
    <col min="13571" max="13575" width="3.7265625" customWidth="1"/>
    <col min="13576" max="13576" width="3.1796875" customWidth="1"/>
    <col min="13577" max="13577" width="3.7265625" customWidth="1"/>
    <col min="13578" max="13581" width="6.81640625" customWidth="1"/>
    <col min="13582" max="13582" width="4.453125" customWidth="1"/>
    <col min="13583" max="13583" width="15.1796875" customWidth="1"/>
    <col min="13584" max="13584" width="15" bestFit="1" customWidth="1"/>
    <col min="13585" max="13585" width="14.7265625" customWidth="1"/>
    <col min="13586" max="13586" width="15" bestFit="1" customWidth="1"/>
    <col min="13589" max="13589" width="15" bestFit="1" customWidth="1"/>
    <col min="13825" max="13825" width="4.26953125" customWidth="1"/>
    <col min="13826" max="13826" width="3.54296875" customWidth="1"/>
    <col min="13827" max="13831" width="3.7265625" customWidth="1"/>
    <col min="13832" max="13832" width="3.1796875" customWidth="1"/>
    <col min="13833" max="13833" width="3.7265625" customWidth="1"/>
    <col min="13834" max="13837" width="6.81640625" customWidth="1"/>
    <col min="13838" max="13838" width="4.453125" customWidth="1"/>
    <col min="13839" max="13839" width="15.1796875" customWidth="1"/>
    <col min="13840" max="13840" width="15" bestFit="1" customWidth="1"/>
    <col min="13841" max="13841" width="14.7265625" customWidth="1"/>
    <col min="13842" max="13842" width="15" bestFit="1" customWidth="1"/>
    <col min="13845" max="13845" width="15" bestFit="1" customWidth="1"/>
    <col min="14081" max="14081" width="4.26953125" customWidth="1"/>
    <col min="14082" max="14082" width="3.54296875" customWidth="1"/>
    <col min="14083" max="14087" width="3.7265625" customWidth="1"/>
    <col min="14088" max="14088" width="3.1796875" customWidth="1"/>
    <col min="14089" max="14089" width="3.7265625" customWidth="1"/>
    <col min="14090" max="14093" width="6.81640625" customWidth="1"/>
    <col min="14094" max="14094" width="4.453125" customWidth="1"/>
    <col min="14095" max="14095" width="15.1796875" customWidth="1"/>
    <col min="14096" max="14096" width="15" bestFit="1" customWidth="1"/>
    <col min="14097" max="14097" width="14.7265625" customWidth="1"/>
    <col min="14098" max="14098" width="15" bestFit="1" customWidth="1"/>
    <col min="14101" max="14101" width="15" bestFit="1" customWidth="1"/>
    <col min="14337" max="14337" width="4.26953125" customWidth="1"/>
    <col min="14338" max="14338" width="3.54296875" customWidth="1"/>
    <col min="14339" max="14343" width="3.7265625" customWidth="1"/>
    <col min="14344" max="14344" width="3.1796875" customWidth="1"/>
    <col min="14345" max="14345" width="3.7265625" customWidth="1"/>
    <col min="14346" max="14349" width="6.81640625" customWidth="1"/>
    <col min="14350" max="14350" width="4.453125" customWidth="1"/>
    <col min="14351" max="14351" width="15.1796875" customWidth="1"/>
    <col min="14352" max="14352" width="15" bestFit="1" customWidth="1"/>
    <col min="14353" max="14353" width="14.7265625" customWidth="1"/>
    <col min="14354" max="14354" width="15" bestFit="1" customWidth="1"/>
    <col min="14357" max="14357" width="15" bestFit="1" customWidth="1"/>
    <col min="14593" max="14593" width="4.26953125" customWidth="1"/>
    <col min="14594" max="14594" width="3.54296875" customWidth="1"/>
    <col min="14595" max="14599" width="3.7265625" customWidth="1"/>
    <col min="14600" max="14600" width="3.1796875" customWidth="1"/>
    <col min="14601" max="14601" width="3.7265625" customWidth="1"/>
    <col min="14602" max="14605" width="6.81640625" customWidth="1"/>
    <col min="14606" max="14606" width="4.453125" customWidth="1"/>
    <col min="14607" max="14607" width="15.1796875" customWidth="1"/>
    <col min="14608" max="14608" width="15" bestFit="1" customWidth="1"/>
    <col min="14609" max="14609" width="14.7265625" customWidth="1"/>
    <col min="14610" max="14610" width="15" bestFit="1" customWidth="1"/>
    <col min="14613" max="14613" width="15" bestFit="1" customWidth="1"/>
    <col min="14849" max="14849" width="4.26953125" customWidth="1"/>
    <col min="14850" max="14850" width="3.54296875" customWidth="1"/>
    <col min="14851" max="14855" width="3.7265625" customWidth="1"/>
    <col min="14856" max="14856" width="3.1796875" customWidth="1"/>
    <col min="14857" max="14857" width="3.7265625" customWidth="1"/>
    <col min="14858" max="14861" width="6.81640625" customWidth="1"/>
    <col min="14862" max="14862" width="4.453125" customWidth="1"/>
    <col min="14863" max="14863" width="15.1796875" customWidth="1"/>
    <col min="14864" max="14864" width="15" bestFit="1" customWidth="1"/>
    <col min="14865" max="14865" width="14.7265625" customWidth="1"/>
    <col min="14866" max="14866" width="15" bestFit="1" customWidth="1"/>
    <col min="14869" max="14869" width="15" bestFit="1" customWidth="1"/>
    <col min="15105" max="15105" width="4.26953125" customWidth="1"/>
    <col min="15106" max="15106" width="3.54296875" customWidth="1"/>
    <col min="15107" max="15111" width="3.7265625" customWidth="1"/>
    <col min="15112" max="15112" width="3.1796875" customWidth="1"/>
    <col min="15113" max="15113" width="3.7265625" customWidth="1"/>
    <col min="15114" max="15117" width="6.81640625" customWidth="1"/>
    <col min="15118" max="15118" width="4.453125" customWidth="1"/>
    <col min="15119" max="15119" width="15.1796875" customWidth="1"/>
    <col min="15120" max="15120" width="15" bestFit="1" customWidth="1"/>
    <col min="15121" max="15121" width="14.7265625" customWidth="1"/>
    <col min="15122" max="15122" width="15" bestFit="1" customWidth="1"/>
    <col min="15125" max="15125" width="15" bestFit="1" customWidth="1"/>
    <col min="15361" max="15361" width="4.26953125" customWidth="1"/>
    <col min="15362" max="15362" width="3.54296875" customWidth="1"/>
    <col min="15363" max="15367" width="3.7265625" customWidth="1"/>
    <col min="15368" max="15368" width="3.1796875" customWidth="1"/>
    <col min="15369" max="15369" width="3.7265625" customWidth="1"/>
    <col min="15370" max="15373" width="6.81640625" customWidth="1"/>
    <col min="15374" max="15374" width="4.453125" customWidth="1"/>
    <col min="15375" max="15375" width="15.1796875" customWidth="1"/>
    <col min="15376" max="15376" width="15" bestFit="1" customWidth="1"/>
    <col min="15377" max="15377" width="14.7265625" customWidth="1"/>
    <col min="15378" max="15378" width="15" bestFit="1" customWidth="1"/>
    <col min="15381" max="15381" width="15" bestFit="1" customWidth="1"/>
    <col min="15617" max="15617" width="4.26953125" customWidth="1"/>
    <col min="15618" max="15618" width="3.54296875" customWidth="1"/>
    <col min="15619" max="15623" width="3.7265625" customWidth="1"/>
    <col min="15624" max="15624" width="3.1796875" customWidth="1"/>
    <col min="15625" max="15625" width="3.7265625" customWidth="1"/>
    <col min="15626" max="15629" width="6.81640625" customWidth="1"/>
    <col min="15630" max="15630" width="4.453125" customWidth="1"/>
    <col min="15631" max="15631" width="15.1796875" customWidth="1"/>
    <col min="15632" max="15632" width="15" bestFit="1" customWidth="1"/>
    <col min="15633" max="15633" width="14.7265625" customWidth="1"/>
    <col min="15634" max="15634" width="15" bestFit="1" customWidth="1"/>
    <col min="15637" max="15637" width="15" bestFit="1" customWidth="1"/>
    <col min="15873" max="15873" width="4.26953125" customWidth="1"/>
    <col min="15874" max="15874" width="3.54296875" customWidth="1"/>
    <col min="15875" max="15879" width="3.7265625" customWidth="1"/>
    <col min="15880" max="15880" width="3.1796875" customWidth="1"/>
    <col min="15881" max="15881" width="3.7265625" customWidth="1"/>
    <col min="15882" max="15885" width="6.81640625" customWidth="1"/>
    <col min="15886" max="15886" width="4.453125" customWidth="1"/>
    <col min="15887" max="15887" width="15.1796875" customWidth="1"/>
    <col min="15888" max="15888" width="15" bestFit="1" customWidth="1"/>
    <col min="15889" max="15889" width="14.7265625" customWidth="1"/>
    <col min="15890" max="15890" width="15" bestFit="1" customWidth="1"/>
    <col min="15893" max="15893" width="15" bestFit="1" customWidth="1"/>
    <col min="16129" max="16129" width="4.26953125" customWidth="1"/>
    <col min="16130" max="16130" width="3.54296875" customWidth="1"/>
    <col min="16131" max="16135" width="3.7265625" customWidth="1"/>
    <col min="16136" max="16136" width="3.1796875" customWidth="1"/>
    <col min="16137" max="16137" width="3.7265625" customWidth="1"/>
    <col min="16138" max="16141" width="6.81640625" customWidth="1"/>
    <col min="16142" max="16142" width="4.453125" customWidth="1"/>
    <col min="16143" max="16143" width="15.1796875" customWidth="1"/>
    <col min="16144" max="16144" width="15" bestFit="1" customWidth="1"/>
    <col min="16145" max="16145" width="14.7265625" customWidth="1"/>
    <col min="16146" max="16146" width="15" bestFit="1" customWidth="1"/>
    <col min="16149" max="16149" width="15" bestFit="1" customWidth="1"/>
  </cols>
  <sheetData>
    <row r="1" spans="1:18" ht="15.5" x14ac:dyDescent="0.35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</row>
    <row r="2" spans="1:18" ht="15.5" x14ac:dyDescent="0.35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spans="1:18" ht="15.5" x14ac:dyDescent="0.35">
      <c r="A3" s="95" t="s">
        <v>2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</row>
    <row r="4" spans="1:18" x14ac:dyDescent="0.25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</row>
    <row r="5" spans="1:18" ht="13" thickBot="1" x14ac:dyDescent="0.3"/>
    <row r="6" spans="1:18" ht="13" thickTop="1" x14ac:dyDescent="0.25">
      <c r="A6" s="1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</row>
    <row r="7" spans="1:18" x14ac:dyDescent="0.25">
      <c r="A7" s="4" t="s">
        <v>4</v>
      </c>
      <c r="C7" s="5" t="s">
        <v>37</v>
      </c>
      <c r="R7" s="6"/>
    </row>
    <row r="8" spans="1:18" ht="13" thickBot="1" x14ac:dyDescent="0.3">
      <c r="A8" s="7" t="s">
        <v>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9"/>
    </row>
    <row r="9" spans="1:18" x14ac:dyDescent="0.25">
      <c r="A9" s="10" t="s">
        <v>6</v>
      </c>
      <c r="B9" s="5" t="s">
        <v>7</v>
      </c>
      <c r="I9" s="5"/>
      <c r="J9" s="5" t="s">
        <v>8</v>
      </c>
      <c r="K9" s="58" t="s">
        <v>46</v>
      </c>
      <c r="R9" s="6"/>
    </row>
    <row r="10" spans="1:18" x14ac:dyDescent="0.25">
      <c r="A10" s="10" t="s">
        <v>9</v>
      </c>
      <c r="B10" s="5" t="s">
        <v>10</v>
      </c>
      <c r="I10" s="5"/>
      <c r="J10" s="5" t="s">
        <v>8</v>
      </c>
      <c r="K10" s="58" t="s">
        <v>40</v>
      </c>
      <c r="O10" s="65" t="s">
        <v>50</v>
      </c>
      <c r="R10" s="6"/>
    </row>
    <row r="11" spans="1:18" x14ac:dyDescent="0.25">
      <c r="A11" s="10" t="s">
        <v>11</v>
      </c>
      <c r="B11" s="5" t="s">
        <v>12</v>
      </c>
      <c r="I11" s="5"/>
      <c r="J11" s="5" t="s">
        <v>8</v>
      </c>
      <c r="K11" s="58" t="s">
        <v>39</v>
      </c>
      <c r="O11" s="58" t="s">
        <v>51</v>
      </c>
      <c r="R11" s="6"/>
    </row>
    <row r="12" spans="1:18" ht="24.75" customHeight="1" x14ac:dyDescent="0.25">
      <c r="A12" s="10" t="s">
        <v>13</v>
      </c>
      <c r="B12" s="5" t="s">
        <v>14</v>
      </c>
      <c r="I12" s="5"/>
      <c r="J12" s="5" t="s">
        <v>8</v>
      </c>
      <c r="K12" s="58" t="s">
        <v>39</v>
      </c>
      <c r="O12" s="96" t="s">
        <v>52</v>
      </c>
      <c r="P12" s="97"/>
      <c r="Q12" s="97"/>
      <c r="R12" s="98"/>
    </row>
    <row r="13" spans="1:18" x14ac:dyDescent="0.25">
      <c r="A13" s="10" t="s">
        <v>15</v>
      </c>
      <c r="B13" s="5" t="s">
        <v>16</v>
      </c>
      <c r="I13" s="5"/>
      <c r="J13" s="5" t="s">
        <v>8</v>
      </c>
      <c r="K13">
        <v>2024</v>
      </c>
      <c r="R13" s="6"/>
    </row>
    <row r="14" spans="1:18" x14ac:dyDescent="0.25">
      <c r="A14" s="10" t="s">
        <v>17</v>
      </c>
      <c r="B14" s="5" t="s">
        <v>18</v>
      </c>
      <c r="I14" s="5"/>
      <c r="J14" s="5" t="s">
        <v>8</v>
      </c>
      <c r="K14" s="99">
        <f>Q29</f>
        <v>4348000</v>
      </c>
      <c r="L14" s="99"/>
      <c r="M14" s="99"/>
      <c r="R14" s="6"/>
    </row>
    <row r="15" spans="1:18" ht="13" thickBot="1" x14ac:dyDescent="0.3">
      <c r="A15" s="10"/>
      <c r="B15" s="58" t="s">
        <v>53</v>
      </c>
      <c r="R15" s="6"/>
    </row>
    <row r="16" spans="1:18" ht="13" thickBot="1" x14ac:dyDescent="0.3">
      <c r="A16" s="100" t="s">
        <v>19</v>
      </c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2"/>
    </row>
    <row r="17" spans="1:21" ht="37.5" x14ac:dyDescent="0.25">
      <c r="A17" s="11" t="s">
        <v>20</v>
      </c>
      <c r="B17" s="84" t="s">
        <v>21</v>
      </c>
      <c r="C17" s="85"/>
      <c r="D17" s="85"/>
      <c r="E17" s="85"/>
      <c r="F17" s="85"/>
      <c r="G17" s="85"/>
      <c r="H17" s="86"/>
      <c r="I17" s="87" t="s">
        <v>22</v>
      </c>
      <c r="J17" s="87"/>
      <c r="K17" s="87"/>
      <c r="L17" s="87"/>
      <c r="M17" s="87"/>
      <c r="N17" s="87"/>
      <c r="O17" s="12" t="s">
        <v>23</v>
      </c>
      <c r="P17" s="60" t="s">
        <v>24</v>
      </c>
      <c r="Q17" s="12" t="s">
        <v>25</v>
      </c>
      <c r="R17" s="13" t="s">
        <v>26</v>
      </c>
    </row>
    <row r="18" spans="1:21" ht="24.75" customHeight="1" x14ac:dyDescent="0.25">
      <c r="A18" s="14">
        <v>1</v>
      </c>
      <c r="B18" s="15"/>
      <c r="C18" s="16" t="s">
        <v>43</v>
      </c>
      <c r="D18" s="16"/>
      <c r="E18" s="17"/>
      <c r="F18" s="17"/>
      <c r="G18" s="17"/>
      <c r="H18" s="18"/>
      <c r="I18" s="88" t="s">
        <v>44</v>
      </c>
      <c r="J18" s="89"/>
      <c r="K18" s="89"/>
      <c r="L18" s="89"/>
      <c r="M18" s="89"/>
      <c r="N18" s="90"/>
      <c r="O18" s="20">
        <v>913000</v>
      </c>
      <c r="P18" s="21">
        <v>0</v>
      </c>
      <c r="Q18" s="20">
        <v>913000</v>
      </c>
      <c r="R18" s="22">
        <f>O18-P18-Q18</f>
        <v>0</v>
      </c>
    </row>
    <row r="19" spans="1:21" ht="33.75" customHeight="1" x14ac:dyDescent="0.25">
      <c r="A19" s="14">
        <v>2</v>
      </c>
      <c r="B19" s="15"/>
      <c r="C19" s="59" t="s">
        <v>47</v>
      </c>
      <c r="D19" s="16"/>
      <c r="E19" s="29"/>
      <c r="F19" s="17"/>
      <c r="G19" s="23"/>
      <c r="H19" s="18"/>
      <c r="I19" s="88" t="s">
        <v>45</v>
      </c>
      <c r="J19" s="89"/>
      <c r="K19" s="89"/>
      <c r="L19" s="89"/>
      <c r="M19" s="89"/>
      <c r="N19" s="90"/>
      <c r="O19" s="20">
        <v>435000</v>
      </c>
      <c r="P19" s="21"/>
      <c r="Q19" s="20">
        <v>435000</v>
      </c>
      <c r="R19" s="22">
        <f t="shared" ref="R19:R27" si="0">O19-P19-Q19</f>
        <v>0</v>
      </c>
    </row>
    <row r="20" spans="1:21" x14ac:dyDescent="0.25">
      <c r="A20" s="14">
        <v>3</v>
      </c>
      <c r="B20" s="15"/>
      <c r="C20" s="103" t="s">
        <v>48</v>
      </c>
      <c r="D20" s="103"/>
      <c r="E20" s="103"/>
      <c r="F20" s="103"/>
      <c r="G20" s="103"/>
      <c r="H20" s="18"/>
      <c r="I20" s="59" t="s">
        <v>49</v>
      </c>
      <c r="J20" s="16"/>
      <c r="K20" s="16"/>
      <c r="L20" s="16"/>
      <c r="M20" s="16"/>
      <c r="N20" s="16"/>
      <c r="O20" s="20">
        <v>3000000</v>
      </c>
      <c r="P20" s="21"/>
      <c r="Q20" s="20">
        <v>3000000</v>
      </c>
      <c r="R20" s="22">
        <f t="shared" si="0"/>
        <v>0</v>
      </c>
    </row>
    <row r="21" spans="1:21" x14ac:dyDescent="0.25">
      <c r="A21" s="24">
        <v>4</v>
      </c>
      <c r="B21" s="25"/>
      <c r="C21" s="16"/>
      <c r="D21" s="16"/>
      <c r="E21" s="16"/>
      <c r="F21" s="23"/>
      <c r="G21" s="23"/>
      <c r="H21" s="26"/>
      <c r="I21" s="19"/>
      <c r="J21" s="27"/>
      <c r="K21" s="27"/>
      <c r="L21" s="27"/>
      <c r="M21" s="27"/>
      <c r="N21" s="27"/>
      <c r="O21" s="20"/>
      <c r="P21" s="21"/>
      <c r="Q21" s="28"/>
      <c r="R21" s="22"/>
    </row>
    <row r="22" spans="1:21" x14ac:dyDescent="0.25">
      <c r="A22" s="14">
        <v>5</v>
      </c>
      <c r="B22" s="15"/>
      <c r="C22" s="16"/>
      <c r="D22" s="16"/>
      <c r="E22" s="29"/>
      <c r="F22" s="17"/>
      <c r="G22" s="23"/>
      <c r="H22" s="18"/>
      <c r="I22" s="19"/>
      <c r="J22" s="16"/>
      <c r="K22" s="16"/>
      <c r="L22" s="16"/>
      <c r="M22" s="16"/>
      <c r="N22" s="16"/>
      <c r="O22" s="20"/>
      <c r="P22" s="21"/>
      <c r="Q22" s="20"/>
      <c r="R22" s="22"/>
    </row>
    <row r="23" spans="1:21" x14ac:dyDescent="0.25">
      <c r="A23" s="14">
        <v>6</v>
      </c>
      <c r="B23" s="15"/>
      <c r="C23" s="16"/>
      <c r="D23" s="16"/>
      <c r="E23" s="16"/>
      <c r="F23" s="17"/>
      <c r="G23" s="17"/>
      <c r="H23" s="18"/>
      <c r="I23" s="19"/>
      <c r="J23" s="16"/>
      <c r="K23" s="16"/>
      <c r="L23" s="16"/>
      <c r="M23" s="16"/>
      <c r="N23" s="16"/>
      <c r="O23" s="20"/>
      <c r="P23" s="21"/>
      <c r="Q23" s="20"/>
      <c r="R23" s="22"/>
    </row>
    <row r="24" spans="1:21" x14ac:dyDescent="0.25">
      <c r="A24" s="14">
        <v>7</v>
      </c>
      <c r="B24" s="15"/>
      <c r="C24" s="16"/>
      <c r="D24" s="16"/>
      <c r="E24" s="16"/>
      <c r="F24" s="17"/>
      <c r="G24" s="17"/>
      <c r="H24" s="18"/>
      <c r="I24" s="19"/>
      <c r="J24" s="16"/>
      <c r="K24" s="16"/>
      <c r="L24" s="16"/>
      <c r="M24" s="16"/>
      <c r="N24" s="16"/>
      <c r="O24" s="20"/>
      <c r="P24" s="21"/>
      <c r="Q24" s="20"/>
      <c r="R24" s="22"/>
    </row>
    <row r="25" spans="1:21" x14ac:dyDescent="0.25">
      <c r="A25" s="14">
        <v>8</v>
      </c>
      <c r="B25" s="15"/>
      <c r="C25" s="16"/>
      <c r="D25" s="16"/>
      <c r="E25" s="16"/>
      <c r="F25" s="17"/>
      <c r="G25" s="17"/>
      <c r="H25" s="18"/>
      <c r="I25" s="19"/>
      <c r="J25" s="16"/>
      <c r="K25" s="16"/>
      <c r="L25" s="16"/>
      <c r="M25" s="16"/>
      <c r="N25" s="16"/>
      <c r="O25" s="20"/>
      <c r="P25" s="21"/>
      <c r="Q25" s="20"/>
      <c r="R25" s="22"/>
    </row>
    <row r="26" spans="1:21" x14ac:dyDescent="0.25">
      <c r="A26" s="14">
        <v>9</v>
      </c>
      <c r="B26" s="15"/>
      <c r="C26" s="16"/>
      <c r="D26" s="16"/>
      <c r="E26" s="16"/>
      <c r="F26" s="16"/>
      <c r="G26" s="16"/>
      <c r="H26" s="18"/>
      <c r="I26" s="16"/>
      <c r="J26" s="16"/>
      <c r="K26" s="16"/>
      <c r="L26" s="16"/>
      <c r="M26" s="16"/>
      <c r="N26" s="16"/>
      <c r="O26" s="57"/>
      <c r="P26" s="21"/>
      <c r="Q26" s="20"/>
      <c r="R26" s="22"/>
      <c r="T26">
        <v>80</v>
      </c>
    </row>
    <row r="27" spans="1:21" x14ac:dyDescent="0.25">
      <c r="A27" s="14"/>
      <c r="B27" s="15"/>
      <c r="C27" s="16"/>
      <c r="D27" s="16"/>
      <c r="E27" s="16"/>
      <c r="F27" s="16"/>
      <c r="G27" s="16"/>
      <c r="H27" s="18"/>
      <c r="I27" s="16"/>
      <c r="J27" s="16"/>
      <c r="K27" s="16"/>
      <c r="L27" s="16"/>
      <c r="M27" s="16"/>
      <c r="N27" s="16"/>
      <c r="O27" s="30"/>
      <c r="P27" s="16"/>
      <c r="Q27" s="30"/>
      <c r="R27" s="22">
        <f t="shared" si="0"/>
        <v>0</v>
      </c>
    </row>
    <row r="28" spans="1:21" ht="13" thickBot="1" x14ac:dyDescent="0.3">
      <c r="A28" s="31"/>
      <c r="B28" s="32"/>
      <c r="C28" s="33"/>
      <c r="D28" s="33"/>
      <c r="E28" s="33"/>
      <c r="F28" s="33"/>
      <c r="G28" s="33"/>
      <c r="H28" s="34"/>
      <c r="I28" s="35"/>
      <c r="J28" s="35"/>
      <c r="K28" s="35"/>
      <c r="L28" s="35"/>
      <c r="M28" s="35"/>
      <c r="N28" s="35"/>
      <c r="O28" s="36"/>
      <c r="P28" s="35"/>
      <c r="Q28" s="36"/>
      <c r="R28" s="37"/>
    </row>
    <row r="29" spans="1:21" ht="13.5" thickBot="1" x14ac:dyDescent="0.35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40" t="s">
        <v>27</v>
      </c>
      <c r="N29" s="39"/>
      <c r="O29" s="41">
        <f>SUM(O18:O26)</f>
        <v>4348000</v>
      </c>
      <c r="P29" s="41">
        <f>SUM(P18:P25)</f>
        <v>0</v>
      </c>
      <c r="Q29" s="41">
        <f>SUM(Q18:Q26)</f>
        <v>4348000</v>
      </c>
      <c r="R29" s="41">
        <f>SUM(R18:R27)</f>
        <v>0</v>
      </c>
      <c r="U29" s="42"/>
    </row>
    <row r="30" spans="1:21" x14ac:dyDescent="0.25">
      <c r="A30" s="91" t="s">
        <v>28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3"/>
    </row>
    <row r="31" spans="1:21" x14ac:dyDescent="0.25">
      <c r="A31" s="14" t="s">
        <v>29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43" t="s">
        <v>30</v>
      </c>
      <c r="R31" s="44">
        <v>0</v>
      </c>
    </row>
    <row r="32" spans="1:21" ht="13" thickBot="1" x14ac:dyDescent="0.3">
      <c r="A32" s="45" t="s">
        <v>31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46" t="s">
        <v>30</v>
      </c>
      <c r="R32" s="47">
        <v>0</v>
      </c>
    </row>
    <row r="33" spans="1:18" x14ac:dyDescent="0.25">
      <c r="A33" s="48" t="s">
        <v>32</v>
      </c>
      <c r="B33" s="49"/>
      <c r="C33" s="49"/>
      <c r="D33" s="49"/>
      <c r="E33" s="49"/>
      <c r="F33" s="49"/>
      <c r="G33" s="49"/>
      <c r="H33" s="49" t="s">
        <v>33</v>
      </c>
      <c r="I33" s="49"/>
      <c r="J33" s="49"/>
      <c r="K33" s="49"/>
      <c r="L33" s="78">
        <f>Q29</f>
        <v>4348000</v>
      </c>
      <c r="M33" s="79"/>
      <c r="N33" s="79"/>
      <c r="O33" s="49"/>
      <c r="P33" s="49"/>
      <c r="Q33" s="49"/>
      <c r="R33" s="50"/>
    </row>
    <row r="34" spans="1:18" x14ac:dyDescent="0.25">
      <c r="A34" s="51" t="s">
        <v>28</v>
      </c>
      <c r="H34" t="s">
        <v>33</v>
      </c>
      <c r="M34" s="80">
        <v>0</v>
      </c>
      <c r="N34" s="80"/>
      <c r="R34" s="6"/>
    </row>
    <row r="35" spans="1:18" x14ac:dyDescent="0.25">
      <c r="A35" s="51" t="s">
        <v>34</v>
      </c>
      <c r="H35" t="s">
        <v>33</v>
      </c>
      <c r="L35" s="81">
        <f>L33</f>
        <v>4348000</v>
      </c>
      <c r="M35" s="82"/>
      <c r="N35" s="82"/>
      <c r="R35" s="6"/>
    </row>
    <row r="36" spans="1:18" ht="13.5" thickBot="1" x14ac:dyDescent="0.35">
      <c r="A36" s="52" t="e">
        <f ca="1">"("&amp;[1]!Terbilang(Q29)&amp;" Rupiah"</f>
        <v>#NAME?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9"/>
    </row>
    <row r="37" spans="1:18" x14ac:dyDescent="0.25">
      <c r="A37" s="48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50"/>
    </row>
    <row r="38" spans="1:18" x14ac:dyDescent="0.25">
      <c r="A38" s="51"/>
      <c r="R38" s="6"/>
    </row>
    <row r="39" spans="1:18" x14ac:dyDescent="0.25">
      <c r="A39" s="51"/>
      <c r="O39" s="53" t="s">
        <v>35</v>
      </c>
      <c r="P39" s="58"/>
      <c r="R39" s="6"/>
    </row>
    <row r="40" spans="1:18" x14ac:dyDescent="0.25">
      <c r="A40" s="51"/>
      <c r="B40" s="77" t="s">
        <v>36</v>
      </c>
      <c r="C40" s="77"/>
      <c r="D40" s="77"/>
      <c r="E40" s="77"/>
      <c r="F40" s="77"/>
      <c r="G40" s="77"/>
      <c r="H40" s="77"/>
      <c r="I40" s="77"/>
      <c r="R40" s="6"/>
    </row>
    <row r="41" spans="1:18" x14ac:dyDescent="0.25">
      <c r="A41" s="83" t="s">
        <v>38</v>
      </c>
      <c r="B41" s="77"/>
      <c r="C41" s="77"/>
      <c r="D41" s="77"/>
      <c r="E41" s="77"/>
      <c r="F41" s="77"/>
      <c r="G41" s="77"/>
      <c r="H41" s="77"/>
      <c r="I41" s="77"/>
      <c r="J41" s="77"/>
      <c r="O41" s="77" t="s">
        <v>7</v>
      </c>
      <c r="P41" s="77"/>
      <c r="Q41" s="77"/>
      <c r="R41" s="6"/>
    </row>
    <row r="42" spans="1:18" x14ac:dyDescent="0.25">
      <c r="A42" s="51"/>
      <c r="R42" s="6"/>
    </row>
    <row r="43" spans="1:18" x14ac:dyDescent="0.25">
      <c r="A43" s="51"/>
      <c r="R43" s="6"/>
    </row>
    <row r="44" spans="1:18" x14ac:dyDescent="0.25">
      <c r="A44" s="51"/>
      <c r="R44" s="6"/>
    </row>
    <row r="45" spans="1:18" x14ac:dyDescent="0.25">
      <c r="A45" s="51"/>
      <c r="R45" s="6"/>
    </row>
    <row r="46" spans="1:18" ht="13" x14ac:dyDescent="0.3">
      <c r="A46" s="74" t="s">
        <v>55</v>
      </c>
      <c r="B46" s="75"/>
      <c r="C46" s="75"/>
      <c r="D46" s="75"/>
      <c r="E46" s="75"/>
      <c r="F46" s="75"/>
      <c r="G46" s="75"/>
      <c r="H46" s="75"/>
      <c r="I46" s="75"/>
      <c r="J46" s="75"/>
      <c r="O46" s="75" t="str">
        <f>K9</f>
        <v>MUHLIS HADIU</v>
      </c>
      <c r="P46" s="75"/>
      <c r="Q46" s="75"/>
      <c r="R46" s="6"/>
    </row>
    <row r="47" spans="1:18" x14ac:dyDescent="0.25">
      <c r="A47" s="51"/>
      <c r="B47" s="76" t="s">
        <v>56</v>
      </c>
      <c r="C47" s="77"/>
      <c r="D47" s="77"/>
      <c r="E47" s="77"/>
      <c r="F47" s="77"/>
      <c r="G47" s="77"/>
      <c r="H47" s="77"/>
      <c r="I47" s="77"/>
      <c r="O47" s="76" t="s">
        <v>54</v>
      </c>
      <c r="P47" s="77"/>
      <c r="Q47" s="77"/>
      <c r="R47" s="6"/>
    </row>
    <row r="48" spans="1:18" ht="13" thickBot="1" x14ac:dyDescent="0.3">
      <c r="A48" s="54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6"/>
    </row>
    <row r="49" ht="13" thickTop="1" x14ac:dyDescent="0.25"/>
  </sheetData>
  <mergeCells count="22">
    <mergeCell ref="B47:I47"/>
    <mergeCell ref="O47:Q47"/>
    <mergeCell ref="C20:G20"/>
    <mergeCell ref="M34:N34"/>
    <mergeCell ref="L35:N35"/>
    <mergeCell ref="B40:I40"/>
    <mergeCell ref="A41:J41"/>
    <mergeCell ref="O41:Q41"/>
    <mergeCell ref="A46:J46"/>
    <mergeCell ref="O46:Q46"/>
    <mergeCell ref="L33:N33"/>
    <mergeCell ref="B17:H17"/>
    <mergeCell ref="I17:N17"/>
    <mergeCell ref="I18:N18"/>
    <mergeCell ref="I19:N19"/>
    <mergeCell ref="A30:R30"/>
    <mergeCell ref="A16:R16"/>
    <mergeCell ref="A1:R1"/>
    <mergeCell ref="A2:R2"/>
    <mergeCell ref="A3:R3"/>
    <mergeCell ref="O12:R12"/>
    <mergeCell ref="K14:M14"/>
  </mergeCells>
  <printOptions horizontalCentered="1"/>
  <pageMargins left="0.25" right="0.05" top="1" bottom="1" header="0.5" footer="0.5"/>
  <pageSetup paperSize="5" scale="82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KEUANGAN</vt:lpstr>
      <vt:lpstr>PERENCANAAN 07</vt:lpstr>
      <vt:lpstr>PERENCANAAN 04</vt:lpstr>
      <vt:lpstr>PERENCANAAN 01</vt:lpstr>
      <vt:lpstr>KEUANGAN!Print_Area</vt:lpstr>
      <vt:lpstr>'PERENCANAAN 01'!Print_Area</vt:lpstr>
      <vt:lpstr>'PERENCANAAN 04'!Print_Area</vt:lpstr>
      <vt:lpstr>'PERENCANAAN 07'!Print_Area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PCPC</dc:creator>
  <cp:lastModifiedBy>MyBook Pro 10</cp:lastModifiedBy>
  <cp:lastPrinted>2026-03-10T05:30:20Z</cp:lastPrinted>
  <dcterms:created xsi:type="dcterms:W3CDTF">2019-12-25T09:40:26Z</dcterms:created>
  <dcterms:modified xsi:type="dcterms:W3CDTF">2026-03-10T07:03:31Z</dcterms:modified>
</cp:coreProperties>
</file>